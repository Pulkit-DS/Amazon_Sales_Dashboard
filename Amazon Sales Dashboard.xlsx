
<file path=[Content_Types].xml><?xml version="1.0" encoding="utf-8"?>
<Types xmlns="http://schemas.openxmlformats.org/package/2006/content-types">
  <Default Extension="bin" ContentType="application/vnd.openxmlformats-officedocument.spreadsheetml.printerSettings"/>
  <Default Extension="png" ContentType="image/png"/>
  <Default Extension="web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650" activeTab="1"/>
  </bookViews>
  <sheets>
    <sheet name="Pivot" sheetId="3" r:id="rId1"/>
    <sheet name="Dashboard" sheetId="4" r:id="rId2"/>
    <sheet name="Sales Data" sheetId="2" r:id="rId3"/>
  </sheets>
  <definedNames>
    <definedName name="Slicer_Month">#N/A</definedName>
    <definedName name="Slicer_Payment_Method">#N/A</definedName>
    <definedName name="Slicer_Seller">#N/A</definedName>
  </definedNames>
  <calcPr calcId="162913"/>
  <pivotCaches>
    <pivotCache cacheId="4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 i="3" l="1"/>
  <c r="AF7" i="3"/>
  <c r="AF8" i="3"/>
  <c r="AF9" i="3"/>
  <c r="AF10" i="3"/>
  <c r="AF5" i="3"/>
  <c r="AE6" i="3"/>
  <c r="AE7" i="3"/>
  <c r="AE8" i="3"/>
  <c r="AE9" i="3"/>
  <c r="AE10" i="3"/>
  <c r="AE5" i="3"/>
  <c r="W5" i="3"/>
  <c r="X5" i="3"/>
  <c r="Y5" i="3"/>
  <c r="Z5" i="3"/>
  <c r="W6" i="3"/>
  <c r="X6" i="3"/>
  <c r="Y6" i="3"/>
  <c r="Z6" i="3"/>
  <c r="W7" i="3"/>
  <c r="X7" i="3"/>
  <c r="Y7" i="3"/>
  <c r="Z7" i="3"/>
  <c r="W8" i="3"/>
  <c r="X8" i="3"/>
  <c r="Y8" i="3"/>
  <c r="Z8" i="3"/>
  <c r="W9" i="3"/>
  <c r="X9" i="3"/>
  <c r="Y9" i="3"/>
  <c r="Z9" i="3"/>
  <c r="W10" i="3"/>
  <c r="X10" i="3"/>
  <c r="Y10" i="3"/>
  <c r="Z10" i="3"/>
  <c r="V6" i="3"/>
  <c r="V7" i="3"/>
  <c r="V8" i="3"/>
  <c r="V9" i="3"/>
  <c r="V10" i="3"/>
  <c r="V5" i="3"/>
  <c r="Z11" i="3" l="1"/>
  <c r="AF11" i="3"/>
  <c r="AG7" i="3" s="1"/>
  <c r="AG8" i="3" l="1"/>
  <c r="AG9" i="3"/>
  <c r="AG5" i="3"/>
  <c r="AG6" i="3"/>
  <c r="AG10" i="3"/>
</calcChain>
</file>

<file path=xl/sharedStrings.xml><?xml version="1.0" encoding="utf-8"?>
<sst xmlns="http://schemas.openxmlformats.org/spreadsheetml/2006/main" count="6583" uniqueCount="871">
  <si>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</si>
  <si>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</si>
  <si>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</si>
  <si>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</si>
  <si>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</si>
  <si>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</si>
  <si>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</si>
  <si>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</si>
  <si>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</si>
  <si>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</si>
  <si>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</si>
  <si>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</si>
  <si>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</si>
  <si>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</si>
  <si>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</si>
  <si>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</si>
  <si>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</si>
  <si>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</si>
  <si>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</si>
  <si>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</si>
  <si>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</si>
  <si>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</si>
  <si>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</si>
  <si>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</si>
  <si>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</si>
  <si>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</si>
  <si>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</si>
  <si>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</si>
  <si>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</si>
  <si>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</si>
  <si>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</si>
  <si>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</si>
  <si>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</si>
  <si>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</si>
  <si>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</si>
  <si>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</si>
  <si>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</si>
  <si>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</si>
  <si>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</si>
  <si>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</si>
  <si>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</si>
  <si>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</si>
  <si>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</si>
  <si>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</si>
  <si>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</si>
  <si>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</si>
  <si>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</si>
  <si>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</si>
  <si>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</si>
  <si>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</si>
  <si>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</si>
  <si>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</si>
  <si>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</si>
  <si>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</si>
  <si>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</si>
  <si>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</si>
  <si>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</si>
  <si>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</si>
  <si>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</si>
  <si>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</si>
  <si>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</si>
  <si>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</si>
  <si>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</si>
  <si>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</si>
  <si>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</si>
  <si>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</si>
  <si>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</si>
  <si>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</si>
  <si>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</si>
  <si>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</si>
  <si>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</si>
  <si>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</si>
  <si>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</si>
  <si>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</si>
  <si>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</si>
  <si>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</si>
  <si>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</si>
  <si>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</si>
  <si>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</si>
  <si>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</si>
  <si>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</si>
  <si>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</si>
  <si>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</si>
  <si>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</si>
  <si>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</si>
  <si>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</si>
  <si>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</si>
  <si>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</si>
  <si>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</si>
  <si>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</si>
  <si>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</si>
  <si>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</si>
  <si>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</si>
  <si>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</si>
  <si>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</si>
  <si>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</si>
  <si>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</si>
  <si>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</si>
  <si>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</si>
  <si>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</si>
  <si>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</si>
  <si>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</si>
  <si>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</si>
  <si>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</si>
  <si>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</si>
  <si>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</si>
  <si>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</si>
  <si>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</si>
  <si>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</si>
  <si>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</si>
  <si>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</si>
  <si>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</si>
  <si>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</si>
  <si>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</si>
  <si>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</si>
  <si>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</si>
  <si>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</si>
  <si>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</si>
  <si>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</si>
  <si>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</si>
  <si>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</si>
  <si>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</si>
  <si>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</si>
  <si>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</si>
  <si>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</si>
  <si>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</si>
  <si>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</si>
  <si>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</si>
  <si>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</si>
  <si>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</si>
  <si>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</si>
  <si>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</si>
  <si>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</si>
  <si>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</si>
  <si>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</si>
  <si>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</si>
  <si>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</si>
  <si>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</si>
  <si>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</si>
  <si>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</si>
  <si>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</si>
  <si>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</si>
  <si>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</si>
  <si>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</si>
  <si>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</si>
  <si>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</si>
  <si>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</si>
  <si>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</si>
  <si>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</si>
  <si>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</si>
  <si>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</si>
  <si>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</si>
  <si>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</si>
  <si>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</si>
  <si>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</si>
  <si>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</si>
  <si>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</si>
  <si>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</si>
  <si>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</si>
  <si>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</si>
  <si>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</si>
  <si>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</si>
  <si>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</si>
  <si>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</si>
  <si>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</si>
  <si>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</si>
  <si>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</si>
  <si>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</si>
  <si>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</si>
  <si>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</si>
  <si>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</si>
  <si>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</si>
  <si>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</si>
  <si>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</si>
  <si>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</si>
  <si>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</si>
  <si>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</si>
  <si>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</si>
  <si>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</si>
  <si>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</si>
  <si>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</si>
  <si>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</si>
  <si>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</si>
  <si>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</si>
  <si>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</si>
  <si>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</si>
  <si>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</si>
  <si>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</si>
  <si>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</si>
  <si>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</si>
  <si>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</si>
  <si>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</si>
  <si>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</si>
  <si>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</si>
  <si>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</si>
  <si>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</si>
  <si>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</si>
  <si>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</si>
  <si>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</si>
  <si>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</si>
  <si>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</si>
  <si>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</si>
  <si>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</si>
  <si>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</si>
  <si>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</si>
  <si>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</si>
  <si>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</si>
  <si>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</si>
  <si>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</si>
  <si>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</si>
  <si>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</si>
  <si>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</si>
  <si>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</si>
  <si>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</si>
  <si>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</si>
  <si>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</si>
  <si>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</si>
  <si>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</si>
  <si>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</si>
  <si>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</si>
  <si>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</si>
  <si>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</si>
  <si>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</si>
  <si>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</si>
  <si>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</si>
  <si>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</si>
  <si>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</si>
  <si>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</si>
  <si>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</si>
  <si>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</si>
  <si>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</si>
  <si>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</si>
  <si>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</si>
  <si>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</si>
  <si>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</si>
  <si>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</si>
  <si>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</si>
  <si>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</si>
  <si>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</si>
  <si>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</si>
  <si>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</si>
  <si>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</si>
  <si>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</si>
  <si>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</si>
  <si>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</si>
  <si>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</si>
  <si>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</si>
  <si>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</si>
  <si>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</si>
  <si>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</si>
  <si>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</si>
  <si>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</si>
  <si>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</si>
  <si>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</si>
  <si>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</si>
  <si>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</si>
  <si>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</si>
  <si>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</si>
  <si>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</si>
  <si>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</si>
  <si>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</si>
  <si>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</si>
  <si>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</si>
  <si>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</si>
  <si>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</si>
  <si>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</si>
  <si>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</si>
  <si>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</si>
  <si>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</si>
  <si>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</si>
  <si>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</si>
  <si>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</si>
  <si>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</si>
  <si>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</si>
  <si>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</si>
  <si>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</si>
  <si>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</si>
  <si>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</si>
  <si>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</si>
  <si>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</si>
  <si>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</si>
  <si>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</si>
  <si>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</si>
  <si>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</si>
  <si>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</si>
  <si>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</si>
  <si>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</si>
  <si>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</si>
  <si>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</si>
  <si>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</si>
  <si>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</si>
  <si>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</si>
  <si>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</si>
  <si>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</si>
  <si>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</si>
  <si>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</si>
  <si>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</si>
  <si>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</si>
  <si>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</si>
  <si>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</si>
  <si>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</si>
  <si>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</si>
  <si>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</si>
  <si>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</si>
  <si>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</si>
  <si>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</si>
  <si>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</si>
  <si>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</si>
  <si>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</si>
  <si>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</si>
  <si>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</si>
  <si>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</si>
  <si>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</si>
  <si>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</si>
  <si>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</si>
  <si>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</si>
  <si>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</si>
  <si>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</si>
  <si>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</si>
  <si>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</si>
  <si>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</si>
  <si>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</si>
  <si>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</si>
  <si>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</si>
  <si>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</si>
  <si>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</si>
  <si>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</si>
  <si>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</si>
  <si>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</si>
  <si>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</si>
  <si>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</si>
  <si>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</si>
  <si>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</si>
  <si>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</si>
  <si>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</si>
  <si>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</si>
  <si>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</si>
  <si>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</si>
  <si>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</si>
  <si>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</si>
  <si>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</si>
  <si>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</si>
  <si>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</si>
  <si>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</si>
  <si>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</si>
  <si>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</si>
  <si>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</si>
  <si>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</si>
  <si>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</si>
  <si>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</si>
  <si>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</si>
  <si>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</si>
  <si>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</si>
  <si>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</si>
  <si>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</si>
  <si>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</si>
  <si>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</si>
  <si>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</si>
  <si>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</si>
  <si>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</si>
  <si>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</si>
  <si>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</si>
  <si>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</si>
  <si>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</si>
  <si>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</si>
  <si>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</si>
  <si>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</si>
  <si>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</si>
  <si>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</si>
  <si>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</si>
  <si>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</si>
  <si>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</si>
  <si>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</si>
  <si>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</si>
  <si>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</si>
  <si>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</si>
  <si>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</si>
  <si>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</si>
  <si>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</si>
  <si>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</si>
  <si>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</si>
  <si>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</si>
  <si>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</si>
  <si>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</si>
  <si>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</si>
  <si>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</si>
  <si>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</si>
  <si>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</si>
  <si>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</si>
  <si>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</si>
  <si>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</si>
  <si>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</si>
  <si>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</si>
  <si>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</si>
  <si>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</si>
  <si>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</si>
  <si>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</si>
  <si>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</si>
  <si>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</si>
  <si>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</si>
  <si>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</si>
  <si>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</si>
  <si>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</si>
  <si>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</si>
  <si>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</si>
  <si>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</si>
  <si>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</si>
  <si>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</si>
  <si>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</si>
  <si>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</si>
  <si>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</si>
  <si>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</si>
  <si>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</si>
  <si>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</si>
  <si>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</si>
  <si>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</si>
  <si>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</si>
  <si>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</si>
  <si>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</si>
  <si>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</si>
  <si>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</si>
  <si>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</si>
  <si>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</si>
  <si>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</si>
  <si>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</si>
  <si>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</si>
  <si>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</si>
  <si>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</si>
  <si>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</si>
  <si>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</si>
  <si>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</si>
  <si>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</si>
  <si>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</si>
  <si>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</si>
  <si>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</si>
  <si>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</si>
  <si>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</si>
  <si>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</si>
  <si>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</si>
  <si>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</si>
  <si>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</si>
  <si>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</si>
  <si>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</si>
  <si>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</si>
  <si>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</si>
  <si>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</si>
  <si>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</si>
  <si>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</si>
  <si>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</si>
  <si>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</si>
  <si>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</si>
  <si>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</si>
  <si>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</si>
  <si>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</si>
  <si>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</si>
  <si>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</si>
  <si>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</si>
  <si>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</si>
  <si>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</si>
  <si>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</si>
  <si>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</si>
  <si>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</si>
  <si>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</si>
  <si>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</si>
  <si>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</si>
  <si>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</si>
  <si>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</si>
  <si>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</si>
  <si>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</si>
  <si>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</si>
  <si>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</si>
  <si>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</si>
  <si>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</si>
  <si>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</si>
  <si>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</si>
  <si>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</si>
  <si>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</si>
  <si>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</si>
  <si>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</si>
  <si>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</si>
  <si>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</si>
  <si>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</si>
  <si>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</si>
  <si>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</si>
  <si>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</si>
  <si>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</si>
  <si>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</si>
  <si>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</si>
  <si>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</si>
  <si>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</si>
  <si>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</si>
  <si>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</si>
  <si>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</si>
  <si>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</si>
  <si>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</si>
  <si>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</si>
  <si>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</si>
  <si>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</si>
  <si>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</si>
  <si>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</si>
  <si>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</si>
  <si>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</si>
  <si>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</si>
  <si>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</si>
  <si>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</si>
  <si>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</si>
  <si>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</si>
  <si>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</si>
  <si>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</si>
  <si>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</si>
  <si>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</si>
  <si>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</si>
  <si>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</si>
  <si>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</si>
  <si>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</si>
  <si>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</si>
  <si>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</si>
  <si>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</si>
  <si>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</si>
  <si>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</si>
  <si>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</si>
  <si>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</si>
  <si>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</si>
  <si>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</si>
  <si>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</si>
  <si>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</si>
  <si>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</si>
  <si>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</si>
  <si>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</si>
  <si>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</si>
  <si>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</si>
  <si>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</si>
  <si>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</si>
  <si>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</si>
  <si>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</si>
  <si>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</si>
  <si>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</si>
  <si>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</si>
  <si>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</si>
  <si>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</si>
  <si>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</si>
  <si>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</si>
  <si>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</si>
  <si>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</si>
  <si>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</si>
  <si>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</si>
  <si>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</si>
  <si>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</si>
  <si>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</si>
  <si>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</si>
  <si>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</si>
  <si>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</si>
  <si>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</si>
  <si>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</si>
  <si>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</si>
  <si>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</si>
  <si>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</si>
  <si>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</si>
  <si>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</si>
  <si>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</si>
  <si>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</si>
  <si>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</si>
  <si>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</si>
  <si>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</si>
  <si>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</si>
  <si>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</si>
  <si>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</si>
  <si>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</si>
  <si>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</si>
  <si>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</si>
  <si>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</si>
  <si>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</si>
  <si>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</si>
  <si>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</si>
  <si>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</si>
  <si>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</si>
  <si>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</si>
  <si>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</si>
  <si>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</si>
  <si>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</si>
  <si>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</si>
  <si>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</si>
  <si>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</si>
  <si>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</si>
  <si>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</si>
  <si>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</si>
  <si>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</si>
  <si>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</si>
  <si>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</si>
  <si>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</si>
  <si>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</si>
  <si>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</si>
  <si>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</si>
  <si>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</si>
  <si>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</si>
  <si>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</si>
  <si>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</si>
  <si>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</si>
  <si>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</si>
  <si>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</si>
  <si>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</si>
  <si>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</si>
  <si>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</si>
  <si>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</si>
  <si>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</si>
  <si>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</si>
  <si>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</si>
  <si>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</si>
  <si>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</si>
  <si>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</si>
  <si>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</si>
  <si>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</si>
  <si>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</si>
  <si>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</si>
  <si>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</si>
  <si>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</si>
  <si>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</si>
  <si>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</si>
  <si>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</si>
  <si>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</si>
  <si>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</si>
  <si>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</si>
  <si>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</si>
  <si>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</si>
  <si>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</si>
  <si>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</si>
  <si>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</si>
  <si>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</si>
  <si>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</si>
  <si>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</si>
  <si>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</si>
  <si>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</si>
  <si>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</si>
  <si>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</si>
  <si>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</si>
  <si>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</si>
  <si>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</si>
  <si>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</si>
  <si>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</si>
  <si>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</si>
  <si>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</si>
  <si>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</si>
  <si>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</si>
  <si>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</si>
  <si>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</si>
  <si>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</si>
  <si>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</si>
  <si>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</si>
  <si>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</si>
  <si>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</si>
  <si>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</si>
  <si>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</si>
  <si>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</si>
  <si>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</si>
  <si>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</si>
  <si>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</si>
  <si>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</si>
  <si>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</si>
  <si>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</si>
  <si>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</si>
  <si>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</si>
  <si>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</si>
  <si>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</si>
  <si>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</si>
  <si>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</si>
  <si>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</si>
  <si>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</si>
  <si>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</si>
  <si>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</si>
  <si>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</si>
  <si>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</si>
  <si>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</si>
  <si>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</si>
  <si>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</si>
  <si>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</si>
  <si>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</si>
  <si>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</si>
  <si>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</si>
  <si>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</si>
  <si>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</si>
  <si>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</si>
  <si>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</si>
  <si>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</si>
  <si>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</si>
  <si>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</si>
  <si>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</si>
  <si>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</si>
  <si>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</si>
  <si>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</si>
  <si>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</si>
  <si>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</si>
  <si>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</si>
  <si>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</si>
  <si>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</si>
  <si>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</si>
  <si>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</si>
  <si>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</si>
  <si>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</si>
  <si>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</si>
  <si>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</si>
  <si>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</si>
  <si>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</si>
  <si>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</si>
  <si>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</si>
  <si>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</si>
  <si>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</si>
  <si>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</si>
  <si>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</si>
  <si>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</si>
  <si>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</si>
  <si>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</si>
  <si>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</si>
  <si>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</si>
  <si>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</si>
  <si>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</si>
  <si>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</si>
  <si>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</si>
  <si>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</si>
  <si>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</si>
  <si>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</si>
  <si>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</si>
  <si>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</si>
  <si>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</si>
  <si>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</si>
  <si>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</si>
  <si>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</si>
  <si>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</si>
  <si>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</si>
  <si>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</si>
  <si>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</si>
  <si>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</si>
  <si>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</si>
  <si>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</si>
  <si>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</si>
  <si>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</si>
  <si>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</si>
  <si>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</si>
  <si>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</si>
  <si>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</si>
  <si>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</si>
  <si>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</si>
  <si>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</si>
  <si>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</si>
  <si>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</si>
  <si>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</si>
  <si>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</si>
  <si>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</si>
  <si>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</si>
  <si>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</si>
  <si>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</si>
  <si>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</si>
  <si>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</si>
  <si>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</si>
  <si>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</si>
  <si>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</si>
  <si>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</si>
  <si>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</si>
  <si>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</si>
  <si>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</si>
  <si>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</si>
  <si>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</si>
  <si>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</si>
  <si>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</si>
  <si>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</si>
  <si>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</si>
  <si>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</si>
  <si>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</si>
  <si>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</si>
  <si>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</si>
  <si>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</si>
  <si>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</si>
  <si>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</si>
  <si>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</si>
  <si>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</si>
  <si>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</si>
  <si>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</si>
  <si>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</si>
  <si>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</si>
  <si>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</si>
  <si>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</si>
  <si>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</si>
  <si>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</si>
  <si>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</si>
  <si>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</si>
  <si>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</si>
  <si>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</si>
  <si>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</si>
  <si>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</si>
  <si>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</si>
  <si>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</si>
  <si>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</si>
  <si>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</si>
  <si>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</si>
  <si>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</si>
  <si>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</si>
  <si>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</si>
  <si>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</si>
  <si>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</si>
  <si>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</si>
  <si>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</si>
  <si>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</si>
  <si>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</si>
  <si>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</si>
  <si>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</si>
  <si>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</si>
  <si>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</si>
  <si>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</si>
  <si>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</si>
  <si>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</si>
  <si>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</si>
  <si>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</si>
  <si>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</si>
  <si>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</si>
  <si>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</si>
  <si>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</si>
  <si>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</si>
  <si>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</si>
  <si>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</si>
  <si>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</si>
  <si>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</si>
  <si>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</si>
  <si>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</si>
  <si>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</si>
  <si>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</si>
  <si>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</si>
  <si>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</si>
  <si>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</si>
  <si>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</si>
  <si>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</si>
  <si>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</si>
  <si>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</si>
  <si>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</si>
  <si>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</si>
  <si>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</si>
  <si>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</si>
  <si>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</si>
  <si>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</si>
  <si>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</si>
  <si>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</si>
  <si>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</si>
  <si>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</si>
  <si>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</si>
  <si>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</si>
  <si>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</si>
  <si>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</si>
  <si>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</si>
  <si>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</si>
  <si>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</si>
  <si>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</si>
  <si>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</si>
  <si>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</si>
  <si>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</si>
  <si>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</si>
  <si>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</si>
  <si>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</si>
  <si>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</si>
  <si>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</si>
  <si>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</si>
  <si>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</si>
  <si>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</si>
  <si>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Count of Order_ID</t>
  </si>
  <si>
    <t>Sum of Quantity</t>
  </si>
  <si>
    <t>Average of Rating</t>
  </si>
  <si>
    <t>Average of Delivery</t>
  </si>
  <si>
    <t>Values</t>
  </si>
  <si>
    <t>Total Sales</t>
  </si>
  <si>
    <t>Row Labels</t>
  </si>
  <si>
    <t>Grand Total</t>
  </si>
  <si>
    <t>Total</t>
  </si>
  <si>
    <t>Sales (S)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</si>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</sst>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0,,&quot;M&quot;"/>
    <numFmt numFmtId="165" formatCode="0.0,&quot;K&quot;"/>
    <numFmt numFmtId="166" formatCode="_(&quot;$&quot;* #,##0_);_(&quot;$&quot;* \(#,##0\);_(&quot;$&quot;* &quot;-&quot;??_);_(@_)"/>
  </numFmts>
  <fonts count="4">
    <font>
      <sz val="11"/>
      <color theme="1"/>
      <name val="Aptos Narrow"/>
      <family val="2"/>
      <scheme val="minor"/>
    </font>
    <font>
      <sz val="11"/>
      <color theme="1"/>
      <name val="Aptos Narrow"/>
      <family val="2"/>
      <scheme val="minor"/>
    </font>
    <font>
      <sz val="11"/>
      <color theme="0"/>
      <name val="Aptos Narrow"/>
      <family val="2"/>
      <scheme val="minor"/>
    </font>
    <font>
      <sz val="14"/>
      <color rgb="FF000000"/>
      <name val="Aptos Narrow"/>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1" applyNumberFormat="1" applyFont="1"/>
    <xf numFmtId="0" fontId="2" fillId="2" borderId="0" xfId="0" applyFont="1" applyFill="1"/>
    <xf numFmtId="166" fontId="2" fillId="2" borderId="0" xfId="1" applyNumberFormat="1" applyFont="1" applyFill="1"/>
    <xf numFmtId="0" fontId="2" fillId="2" borderId="1" xfId="0" applyFont="1" applyFill="1" applyBorder="1"/>
    <xf numFmtId="0" fontId="0" fillId="0" borderId="1" xfId="0" applyBorder="1"/>
    <xf numFmtId="164" fontId="0" fillId="0" borderId="1" xfId="0" applyNumberFormat="1" applyBorder="1"/>
    <xf numFmtId="9" fontId="0" fillId="0" borderId="1" xfId="2" applyFont="1" applyBorder="1"/>
    <xf numFmtId="164" fontId="2" fillId="2" borderId="1" xfId="0" applyNumberFormat="1" applyFont="1" applyFill="1" applyBorder="1"/>
    <xf numFmtId="9" fontId="2" fillId="2" borderId="1" xfId="0" applyNumberFormat="1" applyFont="1" applyFill="1" applyBorder="1"/>
    <xf numFmtId="0" fontId="3" fillId="0" borderId="0" xfId="0" applyFont="1" applyAlignment="1">
      <alignment horizontal="center" vertical="center"/>
    </xf>
  </cellXfs>
  <cellStyles count="3">
    <cellStyle name="Currency" xfId="1" builtinId="4"/>
    <cellStyle name="Normal" xfId="0" builtinId="0"/>
    <cellStyle name="Percent" xfId="2" builtinId="5"/>
  </cellStyles>
  <dxfs count="462">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8" formatCode="0.0,,&quot;K&quot;"/>
    </dxf>
    <dxf>
      <numFmt numFmtId="0" formatCode="General"/>
    </dxf>
    <dxf>
      <numFmt numFmtId="167" formatCode="0.0,&quot;k&quot;"/>
    </dxf>
    <dxf>
      <numFmt numFmtId="165" formatCode="0.0,&quot;K&quot;"/>
    </dxf>
    <dxf>
      <numFmt numFmtId="2" formatCode="0.00"/>
    </dxf>
    <dxf>
      <numFmt numFmtId="164" formatCode="0.0,,&quot;M&quot;"/>
    </dxf>
    <dxf>
      <numFmt numFmtId="2" formatCode="0.00"/>
    </dxf>
    <dxf>
      <numFmt numFmtId="164" formatCode="0.0,,&quot;M&quot;"/>
    </dxf>
    <dxf>
      <numFmt numFmtId="165" formatCode="0.0,&quot;K&quot;"/>
    </dxf>
    <dxf>
      <numFmt numFmtId="167" formatCode="0.0,&quot;k&quot;"/>
    </dxf>
    <dxf>
      <numFmt numFmtId="0" formatCode="General"/>
    </dxf>
    <dxf>
      <numFmt numFmtId="168" formatCode="0.0,,&quot;K&quot;"/>
    </dxf>
    <dxf>
      <numFmt numFmtId="2" formatCode="0.00"/>
    </dxf>
    <dxf>
      <numFmt numFmtId="164" formatCode="0.0,,&quot;M&quot;"/>
    </dxf>
    <dxf>
      <numFmt numFmtId="2" formatCode="0.00"/>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
      <numFmt numFmtId="164" formatCode="0.0,,&quot;M&quot;"/>
    </dxf>
    <dxf>
      <numFmt numFmtId="2" formatCode="0.00"/>
    </dxf>
  </dxfs>
  <tableStyles count="0" defaultTableStyle="TableStyleMedium2" defaultPivotStyle="PivotStyleLight16"/>
  <colors>
    <mruColors>
      <color rgb="FFF4510B"/>
      <color rgb="FFFF9A18"/>
      <color rgb="FF7B2DD4"/>
      <color rgb="FF55159F"/>
      <color rgb="FF8BCB25"/>
      <color rgb="FF5B8F12"/>
      <color rgb="FF00A63C"/>
      <color rgb="FF24A5FF"/>
      <color rgb="FF69D92F"/>
      <color rgb="FF19B8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rgbClr val="002060"/>
              </a:gs>
              <a:gs pos="97000">
                <a:schemeClr val="bg1"/>
              </a:gs>
              <a:gs pos="51000">
                <a:srgbClr val="00B0F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Pivot!$E$3</c:f>
              <c:strCache>
                <c:ptCount val="1"/>
                <c:pt idx="0">
                  <c:v>Total</c:v>
                </c:pt>
              </c:strCache>
            </c:strRef>
          </c:tx>
          <c:spPr>
            <a:gradFill>
              <a:gsLst>
                <a:gs pos="0">
                  <a:srgbClr val="002060"/>
                </a:gs>
                <a:gs pos="97000">
                  <a:schemeClr val="bg1"/>
                </a:gs>
                <a:gs pos="51000">
                  <a:srgbClr val="00B0F0"/>
                </a:gs>
              </a:gsLst>
              <a:lin ang="5400000" scaled="1"/>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5A6D-408D-B3BB-1BAE5C4DE5A5}"/>
            </c:ext>
          </c:extLst>
        </c:ser>
        <c:dLbls>
          <c:showLegendKey val="0"/>
          <c:showVal val="1"/>
          <c:showCatName val="0"/>
          <c:showSerName val="0"/>
          <c:showPercent val="0"/>
          <c:showBubbleSize val="0"/>
        </c:dLbls>
        <c:axId val="1118777568"/>
        <c:axId val="1118783392"/>
      </c:areaChart>
      <c:catAx>
        <c:axId val="111877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8783392"/>
        <c:crosses val="autoZero"/>
        <c:auto val="1"/>
        <c:lblAlgn val="ctr"/>
        <c:lblOffset val="100"/>
        <c:noMultiLvlLbl val="0"/>
      </c:catAx>
      <c:valAx>
        <c:axId val="1118783392"/>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877756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[Data.xlsx]Pivot!PivotTable3</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a:gsLst>
              <a:gs pos="0">
                <a:srgbClr val="00A63C"/>
              </a:gs>
              <a:gs pos="49000">
                <a:srgbClr val="19B84A"/>
              </a:gs>
              <a:gs pos="89000">
                <a:srgbClr val="69D92F"/>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rgbClr val="00A63C"/>
              </a:gs>
              <a:gs pos="49000">
                <a:srgbClr val="19B84A"/>
              </a:gs>
              <a:gs pos="89000">
                <a:srgbClr val="69D92F"/>
              </a:gs>
            </a:gsLst>
            <a:lin ang="5400000" scaled="1"/>
          </a:gradFill>
          <a:ln>
            <a:noFill/>
          </a:ln>
          <a:effectLst/>
        </c:spPr>
        <c:dLbl>
          <c:idx val="0"/>
          <c:layout>
            <c:manualLayout>
              <c:x val="0.10162937376882347"/>
              <c:y val="4.58538128506098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a:gsLst>
              <a:gs pos="0">
                <a:srgbClr val="00A63C"/>
              </a:gs>
              <a:gs pos="49000">
                <a:srgbClr val="19B84A"/>
              </a:gs>
              <a:gs pos="89000">
                <a:srgbClr val="69D92F"/>
              </a:gs>
            </a:gsLst>
            <a:lin ang="5400000" scaled="1"/>
          </a:gradFill>
          <a:ln>
            <a:noFill/>
          </a:ln>
          <a:effectLst/>
        </c:spPr>
        <c:dLbl>
          <c:idx val="0"/>
          <c:layout>
            <c:manualLayout>
              <c:x val="0.32917248394214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0">
                <a:srgbClr val="00A63C"/>
              </a:gs>
              <a:gs pos="49000">
                <a:srgbClr val="19B84A"/>
              </a:gs>
              <a:gs pos="89000">
                <a:srgbClr val="69D92F"/>
              </a:gs>
            </a:gsLst>
            <a:lin ang="5400000" scaled="1"/>
          </a:gradFill>
          <a:ln>
            <a:noFill/>
          </a:ln>
          <a:effectLst/>
        </c:spPr>
        <c:dLbl>
          <c:idx val="0"/>
          <c:layout>
            <c:manualLayout>
              <c:x val="7.46861938356119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rgbClr val="00A63C"/>
              </a:gs>
              <a:gs pos="49000">
                <a:srgbClr val="19B84A"/>
              </a:gs>
              <a:gs pos="89000">
                <a:srgbClr val="69D92F"/>
              </a:gs>
            </a:gsLst>
            <a:lin ang="5400000" scaled="1"/>
          </a:gradFill>
          <a:ln>
            <a:noFill/>
          </a:ln>
          <a:effectLst/>
        </c:spPr>
        <c:dLbl>
          <c:idx val="0"/>
          <c:layout>
            <c:manualLayout>
              <c:x val="6.36215725266324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a:gsLst>
              <a:gs pos="0">
                <a:srgbClr val="00A63C"/>
              </a:gs>
              <a:gs pos="49000">
                <a:srgbClr val="19B84A"/>
              </a:gs>
              <a:gs pos="89000">
                <a:srgbClr val="69D92F"/>
              </a:gs>
            </a:gsLst>
            <a:lin ang="5400000" scaled="1"/>
          </a:gradFill>
          <a:ln>
            <a:noFill/>
          </a:ln>
          <a:effectLst/>
        </c:spPr>
        <c:dLbl>
          <c:idx val="0"/>
          <c:layout>
            <c:manualLayout>
              <c:x val="6.6387727853877296E-2"/>
              <c:y val="-1.681322579391919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1737554680664914"/>
          <c:y val="0.14712744240303297"/>
          <c:w val="0.61455511811023622"/>
          <c:h val="0.75574292796733744"/>
        </c:manualLayout>
      </c:layout>
      <c:barChart>
        <c:barDir val="bar"/>
        <c:grouping val="stacked"/>
        <c:varyColors val="0"/>
        <c:ser>
          <c:idx val="0"/>
          <c:order val="0"/>
          <c:tx>
            <c:strRef>
              <c:f>Pivot!$H$3</c:f>
              <c:strCache>
                <c:ptCount val="1"/>
                <c:pt idx="0">
                  <c:v>Total</c:v>
                </c:pt>
              </c:strCache>
            </c:strRef>
          </c:tx>
          <c:spPr>
            <a:gradFill>
              <a:gsLst>
                <a:gs pos="0">
                  <a:srgbClr val="00A63C"/>
                </a:gs>
                <a:gs pos="49000">
                  <a:srgbClr val="19B84A"/>
                </a:gs>
                <a:gs pos="89000">
                  <a:srgbClr val="69D92F"/>
                </a:gs>
              </a:gsLst>
              <a:lin ang="5400000" scaled="1"/>
            </a:gradFill>
            <a:ln>
              <a:noFill/>
            </a:ln>
            <a:effectLst/>
          </c:spPr>
          <c:invertIfNegative val="0"/>
          <c:dLbls>
            <c:dLbl>
              <c:idx val="0"/>
              <c:layout>
                <c:manualLayout>
                  <c:x val="6.6387727853877296E-2"/>
                  <c:y val="-1.6813225793919197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5EF9-4F2B-97AD-030494536DBE}"/>
                </c:ext>
              </c:extLst>
            </c:dLbl>
            <c:dLbl>
              <c:idx val="1"/>
              <c:layout>
                <c:manualLayout>
                  <c:x val="6.3621572526632419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5EF9-4F2B-97AD-030494536DBE}"/>
                </c:ext>
              </c:extLst>
            </c:dLbl>
            <c:dLbl>
              <c:idx val="2"/>
              <c:layout>
                <c:manualLayout>
                  <c:x val="7.4686193835611966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EF9-4F2B-97AD-030494536DBE}"/>
                </c:ext>
              </c:extLst>
            </c:dLbl>
            <c:dLbl>
              <c:idx val="3"/>
              <c:layout>
                <c:manualLayout>
                  <c:x val="0.10162937376882347"/>
                  <c:y val="4.5853812850609873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EF9-4F2B-97AD-030494536DBE}"/>
                </c:ext>
              </c:extLst>
            </c:dLbl>
            <c:dLbl>
              <c:idx val="4"/>
              <c:layout>
                <c:manualLayout>
                  <c:x val="0.3291724839421416"/>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EF9-4F2B-97AD-030494536D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Pivot!$G$4:$G$9</c:f>
              <c:strCache>
                <c:ptCount val="5"/>
                <c:pt idx="0">
                  <c:v>Beauty</c:v>
                </c:pt>
                <c:pt idx="1">
                  <c:v>Books</c:v>
                </c:pt>
                <c:pt idx="2">
                  <c:v>Fashion</c:v>
                </c:pt>
                <c:pt idx="3">
                  <c:v>Home</c:v>
                </c:pt>
                <c:pt idx="4">
                  <c:v>Electronics</c:v>
                </c:pt>
              </c:strCache>
            </c:strRef>
          </c:cat>
          <c:val>
            <c:numRef>
              <c:f>Pivot!$H$4:$H$9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2-5EF9-4F2B-97AD-030494536DBE}"/>
            </c:ext>
          </c:extLst>
        </c:ser>
        <c:dLbls>
          <c:dLblPos val="ctr"/>
          <c:showLegendKey val="0"/>
          <c:showVal val="1"/>
          <c:showCatName val="0"/>
          <c:showSerName val="0"/>
          <c:showPercent val="0"/>
          <c:showBubbleSize val="0"/>
        </c:dLbls>
        <c:gapWidth val="30"/>
        <c:overlap val="100"/>
        <c:axId val="2045450480"/>
        <c:axId val="2045462128"/>
      </c:barChart>
      <c:catAx>
        <c:axId val="2045450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5462128"/>
        <c:crosses val="autoZero"/>
        <c:auto val="1"/>
        <c:lblAlgn val="ctr"/>
        <c:lblOffset val="100"/>
        <c:noMultiLvlLbl val="0"/>
      </c:catAx>
      <c:valAx>
        <c:axId val="2045462128"/>
        <c:scaling>
          <c:orientation val="minMax"/>
        </c:scaling>
        <c:delete val="0"/>
        <c:axPos val="b"/>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5450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0">
                  <a:schemeClr val="accent5">
                    <a:lumMod val="75000"/>
                  </a:schemeClr>
                </a:gs>
                <a:gs pos="49000">
                  <a:schemeClr val="accent5">
                    <a:lumMod val="60000"/>
                    <a:lumOff val="40000"/>
                  </a:schemeClr>
                </a:gs>
                <a:gs pos="89000">
                  <a:schemeClr val="accent5">
                    <a:lumMod val="40000"/>
                    <a:lumOff val="60000"/>
                  </a:schemeClr>
                </a:gs>
              </a:gsLst>
              <a:lin ang="5400000" scaled="1"/>
            </a:gradFill>
            <a:ln>
              <a:noFill/>
            </a:ln>
            <a:effectLst/>
          </c:spPr>
          <c:invertIfNegative val="0"/>
          <c:cat>
            <c:strRef>
              <c:f>Pivot!$AE$5:$AE$11</c:f>
              <c:strCache>
                <c:ptCount val="7"/>
                <c:pt idx="0">
                  <c:v>Delhi</c:v>
                </c:pt>
                <c:pt idx="1">
                  <c:v>Gujrat</c:v>
                </c:pt>
                <c:pt idx="2">
                  <c:v>Karnataka</c:v>
                </c:pt>
                <c:pt idx="3">
                  <c:v>Maharashtra</c:v>
                </c:pt>
                <c:pt idx="4">
                  <c:v>Tamil Nadu</c:v>
                </c:pt>
                <c:pt idx="5">
                  <c:v>Telangana</c:v>
                </c:pt>
                <c:pt idx="6">
                  <c:v>Total</c:v>
                </c:pt>
              </c:strCache>
            </c:strRef>
          </c:cat>
          <c:val>
            <c:numRef>
              <c:f>Pivot!$AF$5:$AF$11</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4544-45E9-A88A-53E49705150A}"/>
            </c:ext>
          </c:extLst>
        </c:ser>
        <c:dLbls>
          <c:showLegendKey val="0"/>
          <c:showVal val="0"/>
          <c:showCatName val="0"/>
          <c:showSerName val="0"/>
          <c:showPercent val="0"/>
          <c:showBubbleSize val="0"/>
        </c:dLbls>
        <c:gapWidth val="219"/>
        <c:overlap val="-27"/>
        <c:axId val="2110153072"/>
        <c:axId val="2110153488"/>
      </c:barChart>
      <c:catAx>
        <c:axId val="21101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0153488"/>
        <c:crosses val="autoZero"/>
        <c:auto val="1"/>
        <c:lblAlgn val="ctr"/>
        <c:lblOffset val="100"/>
        <c:noMultiLvlLbl val="0"/>
      </c:catAx>
      <c:valAx>
        <c:axId val="2110153488"/>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0153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[Data.xlsx]Pivot!PivotTable4</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dLbl>
          <c:idx val="0"/>
          <c:layout>
            <c:manualLayout>
              <c:x val="9.1803274738467597E-2"/>
              <c:y val="-7.4396123945966189E-2"/>
            </c:manualLayout>
          </c:layout>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0.10327868408077603"/>
              <c:y val="4.7342987965614827E-2"/>
            </c:manualLayout>
          </c:layout>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0.13387977566026527"/>
              <c:y val="5.4106271960702661E-2"/>
            </c:manualLayout>
          </c:layout>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manualLayout>
              <c:x val="-5.7377046711542277E-2"/>
              <c:y val="-0.14879224789193238"/>
            </c:manualLayout>
          </c:layout>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11"/>
        <c:spPr>
          <a:gradFill>
            <a:gsLst>
              <a:gs pos="0">
                <a:srgbClr val="00A63C"/>
              </a:gs>
              <a:gs pos="100000">
                <a:srgbClr val="24A5FF"/>
              </a:gs>
            </a:gsLst>
            <a:lin ang="5400000" scaled="1"/>
          </a:gradFill>
          <a:ln w="19050">
            <a:solidFill>
              <a:schemeClr val="lt1"/>
            </a:solidFill>
          </a:ln>
          <a:effectLst>
            <a:outerShdw blurRad="50800" dist="38100" dir="5400000" algn="ctr" rotWithShape="0">
              <a:srgbClr val="000000">
                <a:alpha val="40000"/>
              </a:srgbClr>
            </a:outerShdw>
          </a:effectLst>
        </c:spPr>
      </c:pivotFmt>
      <c:pivotFmt>
        <c:idx val="12"/>
        <c:spPr>
          <a:gradFill>
            <a:gsLst>
              <a:gs pos="0">
                <a:srgbClr val="F4510B"/>
              </a:gs>
              <a:gs pos="89000">
                <a:srgbClr val="FF9A18"/>
              </a:gs>
            </a:gsLst>
            <a:lin ang="5400000" scaled="1"/>
          </a:gradFill>
          <a:ln w="19050">
            <a:solidFill>
              <a:schemeClr val="lt1"/>
            </a:solidFill>
          </a:ln>
          <a:effectLst>
            <a:outerShdw blurRad="50800" dist="38100" dir="5400000" algn="ctr" rotWithShape="0">
              <a:srgbClr val="000000">
                <a:alpha val="40000"/>
              </a:srgbClr>
            </a:outerShdw>
          </a:effectLst>
        </c:spPr>
      </c:pivotFmt>
      <c:pivotFmt>
        <c:idx val="13"/>
        <c:spPr>
          <a:gradFill>
            <a:gsLst>
              <a:gs pos="0">
                <a:srgbClr val="5B8F12"/>
              </a:gs>
              <a:gs pos="89000">
                <a:srgbClr val="8BCB25"/>
              </a:gs>
            </a:gsLst>
            <a:lin ang="5400000" scaled="1"/>
          </a:gradFill>
          <a:ln w="19050">
            <a:solidFill>
              <a:schemeClr val="lt1"/>
            </a:solidFill>
          </a:ln>
          <a:effectLst>
            <a:outerShdw blurRad="50800" dist="38100" dir="5400000" algn="ctr" rotWithShape="0">
              <a:srgbClr val="000000">
                <a:alpha val="40000"/>
              </a:srgbClr>
            </a:outerShdw>
          </a:effectLst>
        </c:spPr>
      </c:pivotFmt>
      <c:pivotFmt>
        <c:idx val="14"/>
        <c:spPr>
          <a:gradFill>
            <a:gsLst>
              <a:gs pos="0">
                <a:srgbClr val="55159F"/>
              </a:gs>
              <a:gs pos="89000">
                <a:srgbClr val="7B2DD4"/>
              </a:gs>
            </a:gsLst>
            <a:lin ang="5400000" scaled="1"/>
          </a:gradFill>
          <a:ln w="19050">
            <a:solidFill>
              <a:schemeClr val="lt1"/>
            </a:solidFill>
          </a:ln>
          <a:effectLst>
            <a:outerShdw blurRad="50800" dist="38100" dir="5400000" algn="ctr" rotWithShape="0">
              <a:srgbClr val="000000">
                <a:alpha val="40000"/>
              </a:srgbClr>
            </a:outerShdw>
          </a:effectLst>
        </c:spPr>
      </c:pivotFmt>
      <c:pivotFmt>
        <c:idx val="15"/>
        <c:spPr>
          <a:gradFill>
            <a:gsLst>
              <a:gs pos="0">
                <a:schemeClr val="accent2"/>
              </a:gs>
              <a:gs pos="49000">
                <a:schemeClr val="accent2">
                  <a:lumMod val="60000"/>
                  <a:lumOff val="40000"/>
                </a:schemeClr>
              </a:gs>
              <a:gs pos="89000">
                <a:schemeClr val="accent2">
                  <a:lumMod val="40000"/>
                  <a:lumOff val="60000"/>
                </a:schemeClr>
              </a:gs>
            </a:gsLst>
            <a:lin ang="5400000" scaled="1"/>
          </a:gradFill>
          <a:ln w="19050">
            <a:solidFill>
              <a:schemeClr val="lt1"/>
            </a:solidFill>
          </a:ln>
          <a:effectLst>
            <a:outerShdw blurRad="50800" dist="38100" dir="5400000" algn="ctr" rotWithShape="0">
              <a:srgbClr val="000000">
                <a:alpha val="40000"/>
              </a:srgbClr>
            </a:outerShdw>
          </a:effectLst>
        </c:spPr>
        <c:marker>
          <c:symbol val="none"/>
        </c:marker>
      </c:pivotFmt>
    </c:pivotFmts>
    <c:plotArea>
      <c:layout/>
      <c:doughnutChart>
        <c:varyColors val="1"/>
        <c:ser>
          <c:idx val="0"/>
          <c:order val="0"/>
          <c:tx>
            <c:strRef>
              <c:f>Pivot!$K$3</c:f>
              <c:strCache>
                <c:ptCount val="1"/>
                <c:pt idx="0">
                  <c:v>Total</c:v>
                </c:pt>
              </c:strCache>
            </c:strRef>
          </c:tx>
          <c:spPr>
            <a:gradFill>
              <a:gsLst>
                <a:gs pos="0">
                  <a:schemeClr val="accent2"/>
                </a:gs>
                <a:gs pos="49000">
                  <a:schemeClr val="accent2">
                    <a:lumMod val="60000"/>
                    <a:lumOff val="40000"/>
                  </a:schemeClr>
                </a:gs>
                <a:gs pos="89000">
                  <a:schemeClr val="accent2">
                    <a:lumMod val="40000"/>
                    <a:lumOff val="60000"/>
                  </a:schemeClr>
                </a:gs>
              </a:gsLst>
              <a:lin ang="5400000" scaled="1"/>
            </a:gradFill>
            <a:effectLst>
              <a:outerShdw blurRad="50800" dist="38100" dir="5400000" algn="ctr" rotWithShape="0">
                <a:srgbClr val="000000">
                  <a:alpha val="40000"/>
                </a:srgbClr>
              </a:outerShdw>
            </a:effectLst>
          </c:spPr>
          <c:dPt>
            <c:idx val="0"/>
            <c:bubble3D val="0"/>
            <c:spPr>
              <a:gradFill>
                <a:gsLst>
                  <a:gs pos="0">
                    <a:srgbClr val="00A63C"/>
                  </a:gs>
                  <a:gs pos="100000">
                    <a:srgbClr val="24A5FF"/>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1-3F35-43BD-89A5-54B2BCD69047}"/>
              </c:ext>
            </c:extLst>
          </c:dPt>
          <c:dPt>
            <c:idx val="1"/>
            <c:bubble3D val="0"/>
            <c:spPr>
              <a:gradFill>
                <a:gsLst>
                  <a:gs pos="0">
                    <a:srgbClr val="F4510B"/>
                  </a:gs>
                  <a:gs pos="89000">
                    <a:srgbClr val="FF9A18"/>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3-3F35-43BD-89A5-54B2BCD69047}"/>
              </c:ext>
            </c:extLst>
          </c:dPt>
          <c:dPt>
            <c:idx val="2"/>
            <c:bubble3D val="0"/>
            <c:spPr>
              <a:gradFill>
                <a:gsLst>
                  <a:gs pos="0">
                    <a:srgbClr val="5B8F12"/>
                  </a:gs>
                  <a:gs pos="89000">
                    <a:srgbClr val="8BCB25"/>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5-3F35-43BD-89A5-54B2BCD69047}"/>
              </c:ext>
            </c:extLst>
          </c:dPt>
          <c:dPt>
            <c:idx val="3"/>
            <c:bubble3D val="0"/>
            <c:spPr>
              <a:gradFill>
                <a:gsLst>
                  <a:gs pos="0">
                    <a:srgbClr val="55159F"/>
                  </a:gs>
                  <a:gs pos="89000">
                    <a:srgbClr val="7B2DD4"/>
                  </a:gs>
                </a:gsLst>
                <a:lin ang="5400000" scaled="1"/>
              </a:gradFill>
              <a:ln w="19050">
                <a:solidFill>
                  <a:schemeClr val="lt1"/>
                </a:solidFill>
              </a:ln>
              <a:effectLst>
                <a:outerShdw blurRad="50800" dist="38100" dir="5400000" algn="ctr" rotWithShape="0">
                  <a:srgbClr val="000000">
                    <a:alpha val="40000"/>
                  </a:srgbClr>
                </a:outerShdw>
              </a:effectLst>
            </c:spPr>
            <c:extLst>
              <c:ext xmlns:c16="http://schemas.microsoft.com/office/drawing/2014/chart" uri="{C3380CC4-5D6E-409C-BE32-E72D297353CC}">
                <c16:uniqueId val="{00000007-3F35-43BD-89A5-54B2BCD69047}"/>
              </c:ext>
            </c:extLst>
          </c:dPt>
          <c:dLbls>
            <c:delete val="1"/>
          </c:dLbls>
          <c:cat>
            <c:strRef>
              <c:f>Pivot!$J$4:$J$8</c:f>
              <c:strCache>
                <c:ptCount val="4"/>
                <c:pt idx="0">
                  <c:v>Card</c:v>
                </c:pt>
                <c:pt idx="1">
                  <c:v>Cash</c:v>
                </c:pt>
                <c:pt idx="2">
                  <c:v>Net Banking</c:v>
                </c:pt>
                <c:pt idx="3">
                  <c:v>UPI</c:v>
                </c:pt>
              </c:strCache>
            </c:strRef>
          </c:cat>
          <c:val>
            <c:numRef>
              <c:f>Pivot!$K$4:$K$8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3F35-43BD-89A5-54B2BCD69047}"/>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rgbClr val="FF0000"/>
              </a:gs>
              <a:gs pos="49000">
                <a:srgbClr val="F4510B"/>
              </a:gs>
              <a:gs pos="89000">
                <a:srgbClr val="FF9A18"/>
              </a:gs>
            </a:gsLst>
            <a:lin ang="5400000" scaled="1"/>
          </a:gradFill>
          <a:ln>
            <a:noFill/>
          </a:ln>
          <a:effectLst>
            <a:outerShdw blurRad="50800" dist="38100" dir="5400000" algn="ctr" rotWithShape="0">
              <a:srgbClr val="000000">
                <a:alpha val="40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Pivot!$N$3</c:f>
              <c:strCache>
                <c:ptCount val="1"/>
                <c:pt idx="0">
                  <c:v>Total</c:v>
                </c:pt>
              </c:strCache>
            </c:strRef>
          </c:tx>
          <c:spPr>
            <a:gradFill>
              <a:gsLst>
                <a:gs pos="0">
                  <a:srgbClr val="FF0000"/>
                </a:gs>
                <a:gs pos="49000">
                  <a:srgbClr val="F4510B"/>
                </a:gs>
                <a:gs pos="89000">
                  <a:srgbClr val="FF9A18"/>
                </a:gs>
              </a:gsLst>
              <a:lin ang="5400000" scaled="1"/>
            </a:gradFill>
            <a:ln>
              <a:noFill/>
            </a:ln>
            <a:effectLst>
              <a:outerShdw blurRad="50800" dist="38100" dir="5400000" algn="ctr" rotWithShape="0">
                <a:srgbClr val="000000">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Pivot!$M$4:$M$9</c:f>
              <c:strCache>
                <c:ptCount val="5"/>
                <c:pt idx="0">
                  <c:v>AirPods Pro</c:v>
                </c:pt>
                <c:pt idx="1">
                  <c:v>iPhone 15</c:v>
                </c:pt>
                <c:pt idx="2">
                  <c:v>Laptop</c:v>
                </c:pt>
                <c:pt idx="3">
                  <c:v>MacBook Air</c:v>
                </c:pt>
                <c:pt idx="4">
                  <c:v>Sony Headphones</c:v>
                </c:pt>
              </c:strCache>
            </c:strRef>
          </c:cat>
          <c:val>
            <c:numRef>
              <c:f>Pivot!$N$4:$N$9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ACEE-4DFD-BD4B-C5909216734E}"/>
            </c:ext>
          </c:extLst>
        </c:ser>
        <c:dLbls>
          <c:dLblPos val="outEnd"/>
          <c:showLegendKey val="0"/>
          <c:showVal val="1"/>
          <c:showCatName val="0"/>
          <c:showSerName val="0"/>
          <c:showPercent val="0"/>
          <c:showBubbleSize val="0"/>
        </c:dLbls>
        <c:gapWidth val="45"/>
        <c:axId val="1921379856"/>
        <c:axId val="1921380272"/>
      </c:barChart>
      <c:catAx>
        <c:axId val="1921379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1380272"/>
        <c:crosses val="autoZero"/>
        <c:auto val="1"/>
        <c:lblAlgn val="ctr"/>
        <c:lblOffset val="100"/>
        <c:noMultiLvlLbl val="0"/>
      </c:catAx>
      <c:valAx>
        <c:axId val="1921380272"/>
        <c:scaling>
          <c:orientation val="minMax"/>
        </c:scaling>
        <c:delete val="1"/>
        <c:axPos val="t"/>
        <c:numFmt formatCode="0.0,,&quot;M&quot;" sourceLinked="1"/>
        <c:majorTickMark val="none"/>
        <c:minorTickMark val="none"/>
        <c:tickLblPos val="nextTo"/>
        <c:crossAx val="1921379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Pivot!$W$4</c:f>
              <c:strCache>
                <c:ptCount val="1"/>
                <c:pt idx="0">
                  <c:v>Sales</c:v>
                </c:pt>
              </c:strCache>
            </c:strRef>
          </c:tx>
          <c:spPr>
            <a:solidFill>
              <a:schemeClr val="accent1"/>
            </a:solidFill>
            <a:ln>
              <a:noFill/>
            </a:ln>
            <a:effectLst/>
          </c:spPr>
          <c:cat>
            <c:strRef>
              <c:f>Pivot!$V$5:$V$11</c:f>
              <c:strCache>
                <c:ptCount val="7"/>
                <c:pt idx="0">
                  <c:v>ORD10001</c:v>
                </c:pt>
                <c:pt idx="1">
                  <c:v>ORD10002</c:v>
                </c:pt>
                <c:pt idx="2">
                  <c:v>ORD10003</c:v>
                </c:pt>
                <c:pt idx="3">
                  <c:v>ORD10004</c:v>
                </c:pt>
                <c:pt idx="4">
                  <c:v>ORD10005</c:v>
                </c:pt>
                <c:pt idx="5">
                  <c:v>ORD10006</c:v>
                </c:pt>
                <c:pt idx="6">
                  <c:v>Total</c:v>
                </c:pt>
              </c:strCache>
            </c:strRef>
          </c:cat>
          <c:val>
            <c:numRef>
              <c:f>Pivot!$W$5:$W$11</c:f>
              <c:numCache>
                <c:formatCode>General</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6C5A-4DBD-80BF-969BF685110F}"/>
            </c:ext>
          </c:extLst>
        </c:ser>
        <c:ser>
          <c:idx val="1"/>
          <c:order val="1"/>
          <c:tx>
            <c:strRef>
              <c:f>Pivot!$X$4</c:f>
              <c:strCache>
                <c:ptCount val="1"/>
                <c:pt idx="0">
                  <c:v>Product</c:v>
                </c:pt>
              </c:strCache>
            </c:strRef>
          </c:tx>
          <c:spPr>
            <a:solidFill>
              <a:schemeClr val="accent2"/>
            </a:solidFill>
            <a:ln>
              <a:noFill/>
            </a:ln>
            <a:effectLst/>
          </c:spPr>
          <c:cat>
            <c:strRef>
              <c:f>Pivot!$V$5:$V$11</c:f>
              <c:strCache>
                <c:ptCount val="7"/>
                <c:pt idx="0">
                  <c:v>ORD10001</c:v>
                </c:pt>
                <c:pt idx="1">
                  <c:v>ORD10002</c:v>
                </c:pt>
                <c:pt idx="2">
                  <c:v>ORD10003</c:v>
                </c:pt>
                <c:pt idx="3">
                  <c:v>ORD10004</c:v>
                </c:pt>
                <c:pt idx="4">
                  <c:v>ORD10005</c:v>
                </c:pt>
                <c:pt idx="5">
                  <c:v>ORD10006</c:v>
                </c:pt>
                <c:pt idx="6">
                  <c:v>Total</c:v>
                </c:pt>
              </c:strCache>
            </c:strRef>
          </c:cat>
          <c:val>
            <c:numRef>
              <c:f>Pivot!$X$5:$X$11</c:f>
              <c:numCache>
                <c:formatCode>General</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1-6C5A-4DBD-80BF-969BF685110F}"/>
            </c:ext>
          </c:extLst>
        </c:ser>
        <c:ser>
          <c:idx val="2"/>
          <c:order val="2"/>
          <c:tx>
            <c:strRef>
              <c:f>Pivot!$Y$4</c:f>
              <c:strCache>
                <c:ptCount val="1"/>
                <c:pt idx="0">
                  <c:v>Category</c:v>
                </c:pt>
              </c:strCache>
            </c:strRef>
          </c:tx>
          <c:spPr>
            <a:solidFill>
              <a:schemeClr val="accent3"/>
            </a:solidFill>
            <a:ln>
              <a:noFill/>
            </a:ln>
            <a:effectLst/>
          </c:spPr>
          <c:cat>
            <c:strRef>
              <c:f>Pivot!$V$5:$V$11</c:f>
              <c:strCache>
                <c:ptCount val="7"/>
                <c:pt idx="0">
                  <c:v>ORD10001</c:v>
                </c:pt>
                <c:pt idx="1">
                  <c:v>ORD10002</c:v>
                </c:pt>
                <c:pt idx="2">
                  <c:v>ORD10003</c:v>
                </c:pt>
                <c:pt idx="3">
                  <c:v>ORD10004</c:v>
                </c:pt>
                <c:pt idx="4">
                  <c:v>ORD10005</c:v>
                </c:pt>
                <c:pt idx="5">
                  <c:v>ORD10006</c:v>
                </c:pt>
                <c:pt idx="6">
                  <c:v>Total</c:v>
                </c:pt>
              </c:strCache>
            </c:strRef>
          </c:cat>
          <c:val>
            <c:numRef>
              <c:f>Pivot!$Y$5:$Y$11</c:f>
              <c:numCache>
                <c:formatCode>General</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2-6C5A-4DBD-80BF-969BF685110F}"/>
            </c:ext>
          </c:extLst>
        </c:ser>
        <c:ser>
          <c:idx val="3"/>
          <c:order val="3"/>
          <c:tx>
            <c:strRef>
              <c:f>Pivot!$Z$4</c:f>
              <c:strCache>
                <c:ptCount val="1"/>
                <c:pt idx="0">
                  <c:v>Sales (S)</c:v>
                </c:pt>
              </c:strCache>
            </c:strRef>
          </c:tx>
          <c:spPr>
            <a:gradFill>
              <a:gsLst>
                <a:gs pos="0">
                  <a:schemeClr val="tx1">
                    <a:lumMod val="85000"/>
                    <a:lumOff val="15000"/>
                  </a:schemeClr>
                </a:gs>
                <a:gs pos="49000">
                  <a:schemeClr val="tx1">
                    <a:lumMod val="75000"/>
                    <a:lumOff val="25000"/>
                  </a:schemeClr>
                </a:gs>
                <a:gs pos="89000">
                  <a:schemeClr val="tx1">
                    <a:lumMod val="65000"/>
                    <a:lumOff val="35000"/>
                  </a:schemeClr>
                </a:gs>
              </a:gsLst>
              <a:lin ang="5400000" scaled="1"/>
            </a:gradFill>
            <a:ln>
              <a:noFill/>
            </a:ln>
            <a:effectLst/>
          </c:spPr>
          <c:cat>
            <c:strRef>
              <c:f>Pivot!$V$5:$V$11</c:f>
              <c:strCache>
                <c:ptCount val="7"/>
                <c:pt idx="0">
                  <c:v>ORD10001</c:v>
                </c:pt>
                <c:pt idx="1">
                  <c:v>ORD10002</c:v>
                </c:pt>
                <c:pt idx="2">
                  <c:v>ORD10003</c:v>
                </c:pt>
                <c:pt idx="3">
                  <c:v>ORD10004</c:v>
                </c:pt>
                <c:pt idx="4">
                  <c:v>ORD10005</c:v>
                </c:pt>
                <c:pt idx="5">
                  <c:v>ORD10006</c:v>
                </c:pt>
                <c:pt idx="6">
                  <c:v>Total</c:v>
                </c:pt>
              </c:strCache>
            </c:strRef>
          </c:cat>
          <c:val>
            <c:numRef>
              <c:f>Pivot!$Z$5:$Z$11</c:f>
              <c:numCache>
                <c:formatCode>_("$"* #,##0_);_("$"* \(#,##0\);_("$"* "-"??_);_(@_)</c:formatCode>
                <c:ptCount val="7"/>
                <c:pt idx="0">
                  <c:v>3028</c:v>
                </c:pt>
                <c:pt idx="1">
                  <c:v>32636</c:v>
                </c:pt>
                <c:pt idx="2">
                  <c:v>313782</c:v>
                </c:pt>
                <c:pt idx="3">
                  <c:v>11375</c:v>
                </c:pt>
                <c:pt idx="4">
                  <c:v>14496</c:v>
                </c:pt>
                <c:pt idx="5">
                  <c:v>5745</c:v>
                </c:pt>
                <c:pt idx="6">
                  <c:v>381062</c:v>
                </c:pt>
              </c:numCache>
            </c:numRef>
          </c:val>
          <c:extLst>
            <c:ext xmlns:c16="http://schemas.microsoft.com/office/drawing/2014/chart" uri="{C3380CC4-5D6E-409C-BE32-E72D297353CC}">
              <c16:uniqueId val="{00000003-6C5A-4DBD-80BF-969BF685110F}"/>
            </c:ext>
          </c:extLst>
        </c:ser>
        <c:dLbls>
          <c:showLegendKey val="0"/>
          <c:showVal val="0"/>
          <c:showCatName val="0"/>
          <c:showSerName val="0"/>
          <c:showPercent val="0"/>
          <c:showBubbleSize val="0"/>
        </c:dLbls>
        <c:axId val="632044992"/>
        <c:axId val="632045408"/>
      </c:areaChart>
      <c:catAx>
        <c:axId val="63204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2045408"/>
        <c:crosses val="autoZero"/>
        <c:auto val="1"/>
        <c:lblAlgn val="ctr"/>
        <c:lblOffset val="100"/>
        <c:noMultiLvlLbl val="0"/>
      </c:catAx>
      <c:valAx>
        <c:axId val="63204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204499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web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38100</xdr:rowOff>
    </xdr:from>
    <xdr:to>
      <xdr:col>18</xdr:col>
      <xdr:colOff>313766</xdr:colOff>
      <xdr:row>3</xdr:row>
      <xdr:rowOff>161925</xdr:rowOff>
    </xdr:to>
    <xdr:sp macro="" textlink="">
      <xdr:nvSpPr>
        <xdr:cNvPr id="3" name="Rounded Rectangle 2"/>
        <xdr:cNvSpPr/>
      </xdr:nvSpPr>
      <xdr:spPr>
        <a:xfrm>
          <a:off x="66675" y="38100"/>
          <a:ext cx="12551150" cy="661707"/>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4</xdr:row>
      <xdr:rowOff>47624</xdr:rowOff>
    </xdr:from>
    <xdr:to>
      <xdr:col>2</xdr:col>
      <xdr:colOff>156882</xdr:colOff>
      <xdr:row>32</xdr:row>
      <xdr:rowOff>134469</xdr:rowOff>
    </xdr:to>
    <xdr:sp macro="" textlink="">
      <xdr:nvSpPr>
        <xdr:cNvPr id="4" name="Rounded Rectangle 3"/>
        <xdr:cNvSpPr/>
      </xdr:nvSpPr>
      <xdr:spPr>
        <a:xfrm>
          <a:off x="85725" y="764800"/>
          <a:ext cx="1438275" cy="5107081"/>
        </a:xfrm>
        <a:prstGeom prst="roundRect">
          <a:avLst/>
        </a:prstGeom>
        <a:no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268940</xdr:colOff>
      <xdr:row>4</xdr:row>
      <xdr:rowOff>89648</xdr:rowOff>
    </xdr:from>
    <xdr:to>
      <xdr:col>5</xdr:col>
      <xdr:colOff>302559</xdr:colOff>
      <xdr:row>9</xdr:row>
      <xdr:rowOff>89648</xdr:rowOff>
    </xdr:to>
    <xdr:sp macro="" textlink="">
      <xdr:nvSpPr>
        <xdr:cNvPr id="5" name="Rounded Rectangle 4"/>
        <xdr:cNvSpPr/>
      </xdr:nvSpPr>
      <xdr:spPr>
        <a:xfrm>
          <a:off x="1636058" y="806824"/>
          <a:ext cx="2084295" cy="896471"/>
        </a:xfrm>
        <a:prstGeom prst="roundRect">
          <a:avLst/>
        </a:prstGeom>
        <a:gradFill>
          <a:gsLst>
            <a:gs pos="0">
              <a:srgbClr val="4F81BD"/>
            </a:gs>
            <a:gs pos="37000">
              <a:srgbClr val="4E8EDC"/>
            </a:gs>
            <a:gs pos="63000">
              <a:srgbClr val="4F81BD"/>
            </a:gs>
            <a:gs pos="100000">
              <a:schemeClr val="bg1"/>
            </a:gs>
          </a:gsLst>
          <a:lin ang="5400000" scaled="1"/>
        </a:gradFill>
        <a:ln w="3175">
          <a:solidFill>
            <a:srgbClr val="1C334E"/>
          </a:solidFill>
        </a:ln>
        <a:effectLst>
          <a:outerShdw blurRad="101600" dist="38100" dir="5400000" algn="ctr" rotWithShape="0">
            <a:srgbClr val="00000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437349</xdr:colOff>
      <xdr:row>4</xdr:row>
      <xdr:rowOff>98774</xdr:rowOff>
    </xdr:from>
    <xdr:to>
      <xdr:col>8</xdr:col>
      <xdr:colOff>470967</xdr:colOff>
      <xdr:row>9</xdr:row>
      <xdr:rowOff>98774</xdr:rowOff>
    </xdr:to>
    <xdr:sp macro="" textlink="">
      <xdr:nvSpPr>
        <xdr:cNvPr id="6" name="Rounded Rectangle 5"/>
        <xdr:cNvSpPr/>
      </xdr:nvSpPr>
      <xdr:spPr>
        <a:xfrm>
          <a:off x="3839135" y="806345"/>
          <a:ext cx="2074689" cy="884465"/>
        </a:xfrm>
        <a:prstGeom prst="roundRect">
          <a:avLst/>
        </a:prstGeom>
        <a:gradFill>
          <a:gsLst>
            <a:gs pos="0">
              <a:srgbClr val="22C55E"/>
            </a:gs>
            <a:gs pos="37000">
              <a:srgbClr val="86EFAC"/>
            </a:gs>
            <a:gs pos="63000">
              <a:srgbClr val="B7F0C8"/>
            </a:gs>
            <a:gs pos="100000">
              <a:schemeClr val="bg1"/>
            </a:gs>
          </a:gsLst>
          <a:lin ang="5400000" scaled="1"/>
        </a:gradFill>
        <a:ln w="3175">
          <a:solidFill>
            <a:srgbClr val="62D98A"/>
          </a:solidFill>
        </a:ln>
        <a:effectLst>
          <a:outerShdw blurRad="101600" dist="38100" dir="5400000" algn="ctr" rotWithShape="0">
            <a:srgbClr val="00000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584946</xdr:colOff>
      <xdr:row>4</xdr:row>
      <xdr:rowOff>103096</xdr:rowOff>
    </xdr:from>
    <xdr:to>
      <xdr:col>11</xdr:col>
      <xdr:colOff>618565</xdr:colOff>
      <xdr:row>9</xdr:row>
      <xdr:rowOff>103096</xdr:rowOff>
    </xdr:to>
    <xdr:sp macro="" textlink="">
      <xdr:nvSpPr>
        <xdr:cNvPr id="7" name="Rounded Rectangle 6"/>
        <xdr:cNvSpPr/>
      </xdr:nvSpPr>
      <xdr:spPr>
        <a:xfrm>
          <a:off x="6053417" y="820272"/>
          <a:ext cx="2084295" cy="896471"/>
        </a:xfrm>
        <a:prstGeom prst="roundRect">
          <a:avLst/>
        </a:prstGeom>
        <a:gradFill>
          <a:gsLst>
            <a:gs pos="0">
              <a:srgbClr val="F59E0B"/>
            </a:gs>
            <a:gs pos="37000">
              <a:srgbClr val="FCD34D"/>
            </a:gs>
            <a:gs pos="63000">
              <a:srgbClr val="FFE19A"/>
            </a:gs>
            <a:gs pos="100000">
              <a:schemeClr val="bg1"/>
            </a:gs>
          </a:gsLst>
          <a:lin ang="5400000" scaled="1"/>
        </a:gradFill>
        <a:ln w="3175">
          <a:solidFill>
            <a:srgbClr val="F5C04A"/>
          </a:solidFill>
        </a:ln>
        <a:effectLst>
          <a:outerShdw blurRad="101600" dist="38100" dir="5400000" algn="ctr" rotWithShape="0">
            <a:srgbClr val="00000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64994</xdr:colOff>
      <xdr:row>4</xdr:row>
      <xdr:rowOff>98613</xdr:rowOff>
    </xdr:from>
    <xdr:to>
      <xdr:col>15</xdr:col>
      <xdr:colOff>98613</xdr:colOff>
      <xdr:row>9</xdr:row>
      <xdr:rowOff>98613</xdr:rowOff>
    </xdr:to>
    <xdr:sp macro="" textlink="">
      <xdr:nvSpPr>
        <xdr:cNvPr id="8" name="Rounded Rectangle 7"/>
        <xdr:cNvSpPr/>
      </xdr:nvSpPr>
      <xdr:spPr>
        <a:xfrm>
          <a:off x="8267700" y="815789"/>
          <a:ext cx="2084295" cy="896471"/>
        </a:xfrm>
        <a:prstGeom prst="roundRect">
          <a:avLst/>
        </a:prstGeom>
        <a:gradFill>
          <a:gsLst>
            <a:gs pos="0">
              <a:srgbClr val="8B5CF6"/>
            </a:gs>
            <a:gs pos="37000">
              <a:srgbClr val="C4B5FD"/>
            </a:gs>
            <a:gs pos="63000">
              <a:srgbClr val="DDB8F5"/>
            </a:gs>
            <a:gs pos="100000">
              <a:schemeClr val="bg1"/>
            </a:gs>
          </a:gsLst>
          <a:lin ang="5400000" scaled="1"/>
        </a:gradFill>
        <a:ln w="3175">
          <a:solidFill>
            <a:srgbClr val="B76BE8"/>
          </a:solidFill>
        </a:ln>
        <a:effectLst>
          <a:outerShdw blurRad="101600" dist="38100" dir="5400000" algn="ctr" rotWithShape="0">
            <a:srgbClr val="00000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262217</xdr:colOff>
      <xdr:row>4</xdr:row>
      <xdr:rowOff>105337</xdr:rowOff>
    </xdr:from>
    <xdr:to>
      <xdr:col>18</xdr:col>
      <xdr:colOff>295835</xdr:colOff>
      <xdr:row>9</xdr:row>
      <xdr:rowOff>105337</xdr:rowOff>
    </xdr:to>
    <xdr:sp macro="" textlink="">
      <xdr:nvSpPr>
        <xdr:cNvPr id="9" name="Rounded Rectangle 8"/>
        <xdr:cNvSpPr/>
      </xdr:nvSpPr>
      <xdr:spPr>
        <a:xfrm>
          <a:off x="10515599" y="822513"/>
          <a:ext cx="2084295" cy="896471"/>
        </a:xfrm>
        <a:prstGeom prst="roundRect">
          <a:avLst/>
        </a:prstGeom>
        <a:gradFill>
          <a:gsLst>
            <a:gs pos="0">
              <a:srgbClr val="F43F5E"/>
            </a:gs>
            <a:gs pos="37000">
              <a:srgbClr val="FB7185"/>
            </a:gs>
            <a:gs pos="63000">
              <a:srgbClr val="FFB6C5"/>
            </a:gs>
            <a:gs pos="100000">
              <a:schemeClr val="bg1"/>
            </a:gs>
          </a:gsLst>
          <a:lin ang="5400000" scaled="1"/>
        </a:gradFill>
        <a:ln w="3175">
          <a:solidFill>
            <a:srgbClr val="FF6B85"/>
          </a:solidFill>
        </a:ln>
        <a:effectLst>
          <a:outerShdw blurRad="101600" dist="38100" dir="5400000" algn="ctr" rotWithShape="0">
            <a:srgbClr val="00000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272144</xdr:colOff>
      <xdr:row>10</xdr:row>
      <xdr:rowOff>68034</xdr:rowOff>
    </xdr:from>
    <xdr:to>
      <xdr:col>7</xdr:col>
      <xdr:colOff>421822</xdr:colOff>
      <xdr:row>21</xdr:row>
      <xdr:rowOff>81643</xdr:rowOff>
    </xdr:to>
    <xdr:sp macro="" textlink="">
      <xdr:nvSpPr>
        <xdr:cNvPr id="15" name="Rounded Rectangle 14"/>
        <xdr:cNvSpPr/>
      </xdr:nvSpPr>
      <xdr:spPr>
        <a:xfrm>
          <a:off x="1632858" y="1836963"/>
          <a:ext cx="3551464" cy="1959430"/>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503464</xdr:colOff>
      <xdr:row>10</xdr:row>
      <xdr:rowOff>84363</xdr:rowOff>
    </xdr:from>
    <xdr:to>
      <xdr:col>13</xdr:col>
      <xdr:colOff>43543</xdr:colOff>
      <xdr:row>21</xdr:row>
      <xdr:rowOff>68036</xdr:rowOff>
    </xdr:to>
    <xdr:sp macro="" textlink="">
      <xdr:nvSpPr>
        <xdr:cNvPr id="16" name="Rounded Rectangle 15"/>
        <xdr:cNvSpPr/>
      </xdr:nvSpPr>
      <xdr:spPr>
        <a:xfrm>
          <a:off x="5265964" y="1853292"/>
          <a:ext cx="3622222" cy="1929494"/>
        </a:xfrm>
        <a:prstGeom prst="roundRect">
          <a:avLst/>
        </a:prstGeom>
        <a:solidFill>
          <a:srgbClr val="E8FFF0"/>
        </a:solidFill>
        <a:ln>
          <a:solidFill>
            <a:srgbClr val="00B050"/>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122464</xdr:colOff>
      <xdr:row>10</xdr:row>
      <xdr:rowOff>87084</xdr:rowOff>
    </xdr:from>
    <xdr:to>
      <xdr:col>18</xdr:col>
      <xdr:colOff>359228</xdr:colOff>
      <xdr:row>21</xdr:row>
      <xdr:rowOff>54429</xdr:rowOff>
    </xdr:to>
    <xdr:sp macro="" textlink="">
      <xdr:nvSpPr>
        <xdr:cNvPr id="17" name="Rounded Rectangle 16"/>
        <xdr:cNvSpPr/>
      </xdr:nvSpPr>
      <xdr:spPr>
        <a:xfrm>
          <a:off x="8967107" y="1856013"/>
          <a:ext cx="3638550" cy="1913166"/>
        </a:xfrm>
        <a:prstGeom prst="roundRect">
          <a:avLst/>
        </a:prstGeom>
        <a:solidFill>
          <a:srgbClr val="FFF8E5"/>
        </a:solidFill>
        <a:ln>
          <a:solidFill>
            <a:srgbClr val="F4B183"/>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503464</xdr:colOff>
      <xdr:row>22</xdr:row>
      <xdr:rowOff>0</xdr:rowOff>
    </xdr:from>
    <xdr:to>
      <xdr:col>13</xdr:col>
      <xdr:colOff>43542</xdr:colOff>
      <xdr:row>33</xdr:row>
      <xdr:rowOff>43543</xdr:rowOff>
    </xdr:to>
    <xdr:sp macro="" textlink="">
      <xdr:nvSpPr>
        <xdr:cNvPr id="18" name="Rounded Rectangle 17"/>
        <xdr:cNvSpPr/>
      </xdr:nvSpPr>
      <xdr:spPr>
        <a:xfrm>
          <a:off x="5265964" y="3891643"/>
          <a:ext cx="3622221" cy="1989364"/>
        </a:xfrm>
        <a:prstGeom prst="roundRect">
          <a:avLst/>
        </a:prstGeom>
        <a:solidFill>
          <a:srgbClr val="FFF0F3"/>
        </a:solidFill>
        <a:ln>
          <a:solidFill>
            <a:srgbClr val="FF4D6D"/>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277587</xdr:colOff>
      <xdr:row>22</xdr:row>
      <xdr:rowOff>1</xdr:rowOff>
    </xdr:from>
    <xdr:to>
      <xdr:col>7</xdr:col>
      <xdr:colOff>427265</xdr:colOff>
      <xdr:row>33</xdr:row>
      <xdr:rowOff>46264</xdr:rowOff>
    </xdr:to>
    <xdr:sp macro="" textlink="">
      <xdr:nvSpPr>
        <xdr:cNvPr id="19" name="Rounded Rectangle 18"/>
        <xdr:cNvSpPr/>
      </xdr:nvSpPr>
      <xdr:spPr>
        <a:xfrm>
          <a:off x="1638301" y="3891644"/>
          <a:ext cx="3551464" cy="1992084"/>
        </a:xfrm>
        <a:prstGeom prst="roundRect">
          <a:avLst/>
        </a:prstGeom>
        <a:solidFill>
          <a:srgbClr val="F7EDFF"/>
        </a:solidFill>
        <a:ln>
          <a:solidFill>
            <a:srgbClr val="8E44AD"/>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136071</xdr:colOff>
      <xdr:row>22</xdr:row>
      <xdr:rowOff>0</xdr:rowOff>
    </xdr:from>
    <xdr:to>
      <xdr:col>18</xdr:col>
      <xdr:colOff>356507</xdr:colOff>
      <xdr:row>33</xdr:row>
      <xdr:rowOff>43542</xdr:rowOff>
    </xdr:to>
    <xdr:sp macro="" textlink="">
      <xdr:nvSpPr>
        <xdr:cNvPr id="20" name="Rounded Rectangle 19"/>
        <xdr:cNvSpPr/>
      </xdr:nvSpPr>
      <xdr:spPr>
        <a:xfrm>
          <a:off x="8980714" y="3891643"/>
          <a:ext cx="3622222" cy="1989363"/>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326573</xdr:colOff>
      <xdr:row>1</xdr:row>
      <xdr:rowOff>40824</xdr:rowOff>
    </xdr:from>
    <xdr:to>
      <xdr:col>3</xdr:col>
      <xdr:colOff>367393</xdr:colOff>
      <xdr:row>3</xdr:row>
      <xdr:rowOff>81644</xdr:rowOff>
    </xdr:to>
    <xdr:pic>
      <xdr:nvPicPr>
        <xdr:cNvPr id="25" name="Picture 2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573" y="217717"/>
          <a:ext cx="2081891" cy="394606"/>
        </a:xfrm>
        <a:prstGeom prst="rect">
          <a:avLst/>
        </a:prstGeom>
      </xdr:spPr>
    </xdr:pic>
    <xdr:clientData/>
  </xdr:twoCellAnchor>
  <xdr:twoCellAnchor>
    <xdr:from>
      <xdr:col>4</xdr:col>
      <xdr:colOff>421821</xdr:colOff>
      <xdr:row>0</xdr:row>
      <xdr:rowOff>95249</xdr:rowOff>
    </xdr:from>
    <xdr:to>
      <xdr:col>13</xdr:col>
      <xdr:colOff>666750</xdr:colOff>
      <xdr:row>3</xdr:row>
      <xdr:rowOff>95250</xdr:rowOff>
    </xdr:to>
    <xdr:sp macro="" textlink="">
      <xdr:nvSpPr>
        <xdr:cNvPr id="26" name="TextBox 25"/>
        <xdr:cNvSpPr txBox="1"/>
      </xdr:nvSpPr>
      <xdr:spPr>
        <a:xfrm>
          <a:off x="3143250" y="95249"/>
          <a:ext cx="6368143" cy="530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latin typeface="Bahnschrift SemiBold" panose="020B0502040204020203" pitchFamily="34" charset="0"/>
            </a:rPr>
            <a:t>Amazon</a:t>
          </a:r>
          <a:r>
            <a:rPr lang="en-US" sz="3600" b="1">
              <a:latin typeface="Bahnschrift SemiBold" panose="020B0502040204020203" pitchFamily="34" charset="0"/>
            </a:rPr>
            <a:t> </a:t>
          </a:r>
          <a:r>
            <a:rPr lang="en-US" sz="3600" b="1">
              <a:solidFill>
                <a:srgbClr val="FFC000"/>
              </a:solidFill>
              <a:latin typeface="Bahnschrift SemiBold" panose="020B0502040204020203" pitchFamily="34" charset="0"/>
            </a:rPr>
            <a:t>Sales Dashboard</a:t>
          </a:r>
        </a:p>
      </xdr:txBody>
    </xdr:sp>
    <xdr:clientData/>
  </xdr:twoCellAnchor>
  <xdr:twoCellAnchor editAs="oneCell">
    <xdr:from>
      <xdr:col>17</xdr:col>
      <xdr:colOff>0</xdr:colOff>
      <xdr:row>0</xdr:row>
      <xdr:rowOff>54428</xdr:rowOff>
    </xdr:from>
    <xdr:to>
      <xdr:col>17</xdr:col>
      <xdr:colOff>666750</xdr:colOff>
      <xdr:row>3</xdr:row>
      <xdr:rowOff>163285</xdr:rowOff>
    </xdr:to>
    <xdr:pic>
      <xdr:nvPicPr>
        <xdr:cNvPr id="29" name="Picture 28"/>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66071" y="54428"/>
          <a:ext cx="666750" cy="639536"/>
        </a:xfrm>
        <a:prstGeom prst="rect">
          <a:avLst/>
        </a:prstGeom>
      </xdr:spPr>
    </xdr:pic>
    <xdr:clientData/>
  </xdr:twoCellAnchor>
  <xdr:twoCellAnchor editAs="oneCell">
    <xdr:from>
      <xdr:col>2</xdr:col>
      <xdr:colOff>285750</xdr:colOff>
      <xdr:row>5</xdr:row>
      <xdr:rowOff>54430</xdr:rowOff>
    </xdr:from>
    <xdr:to>
      <xdr:col>3</xdr:col>
      <xdr:colOff>408215</xdr:colOff>
      <xdr:row>8</xdr:row>
      <xdr:rowOff>95250</xdr:rowOff>
    </xdr:to>
    <xdr:pic>
      <xdr:nvPicPr>
        <xdr:cNvPr id="33" name="Picture 3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46464" y="938894"/>
          <a:ext cx="802822" cy="625927"/>
        </a:xfrm>
        <a:prstGeom prst="rect">
          <a:avLst/>
        </a:prstGeom>
      </xdr:spPr>
    </xdr:pic>
    <xdr:clientData/>
  </xdr:twoCellAnchor>
  <xdr:twoCellAnchor editAs="oneCell">
    <xdr:from>
      <xdr:col>15</xdr:col>
      <xdr:colOff>285749</xdr:colOff>
      <xdr:row>5</xdr:row>
      <xdr:rowOff>27216</xdr:rowOff>
    </xdr:from>
    <xdr:to>
      <xdr:col>16</xdr:col>
      <xdr:colOff>380999</xdr:colOff>
      <xdr:row>8</xdr:row>
      <xdr:rowOff>149680</xdr:rowOff>
    </xdr:to>
    <xdr:pic>
      <xdr:nvPicPr>
        <xdr:cNvPr id="2" name="Pictur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491106" y="911680"/>
          <a:ext cx="775607" cy="707571"/>
        </a:xfrm>
        <a:prstGeom prst="rect">
          <a:avLst/>
        </a:prstGeom>
      </xdr:spPr>
    </xdr:pic>
    <xdr:clientData/>
  </xdr:twoCellAnchor>
  <xdr:twoCellAnchor editAs="oneCell">
    <xdr:from>
      <xdr:col>12</xdr:col>
      <xdr:colOff>108857</xdr:colOff>
      <xdr:row>5</xdr:row>
      <xdr:rowOff>27215</xdr:rowOff>
    </xdr:from>
    <xdr:to>
      <xdr:col>13</xdr:col>
      <xdr:colOff>176893</xdr:colOff>
      <xdr:row>8</xdr:row>
      <xdr:rowOff>149680</xdr:rowOff>
    </xdr:to>
    <xdr:pic>
      <xdr:nvPicPr>
        <xdr:cNvPr id="10" name="Picture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73143" y="911679"/>
          <a:ext cx="748393" cy="707572"/>
        </a:xfrm>
        <a:prstGeom prst="rect">
          <a:avLst/>
        </a:prstGeom>
      </xdr:spPr>
    </xdr:pic>
    <xdr:clientData/>
  </xdr:twoCellAnchor>
  <xdr:twoCellAnchor editAs="oneCell">
    <xdr:from>
      <xdr:col>8</xdr:col>
      <xdr:colOff>557893</xdr:colOff>
      <xdr:row>5</xdr:row>
      <xdr:rowOff>27213</xdr:rowOff>
    </xdr:from>
    <xdr:to>
      <xdr:col>10</xdr:col>
      <xdr:colOff>54429</xdr:colOff>
      <xdr:row>8</xdr:row>
      <xdr:rowOff>136071</xdr:rowOff>
    </xdr:to>
    <xdr:pic>
      <xdr:nvPicPr>
        <xdr:cNvPr id="11" name="Picture 1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00750" y="911677"/>
          <a:ext cx="857250" cy="693965"/>
        </a:xfrm>
        <a:prstGeom prst="rect">
          <a:avLst/>
        </a:prstGeom>
      </xdr:spPr>
    </xdr:pic>
    <xdr:clientData/>
  </xdr:twoCellAnchor>
  <xdr:twoCellAnchor editAs="oneCell">
    <xdr:from>
      <xdr:col>5</xdr:col>
      <xdr:colOff>394606</xdr:colOff>
      <xdr:row>5</xdr:row>
      <xdr:rowOff>2</xdr:rowOff>
    </xdr:from>
    <xdr:to>
      <xdr:col>6</xdr:col>
      <xdr:colOff>598715</xdr:colOff>
      <xdr:row>8</xdr:row>
      <xdr:rowOff>108858</xdr:rowOff>
    </xdr:to>
    <xdr:pic>
      <xdr:nvPicPr>
        <xdr:cNvPr id="12" name="Picture 1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96392" y="884466"/>
          <a:ext cx="884466" cy="693963"/>
        </a:xfrm>
        <a:prstGeom prst="rect">
          <a:avLst/>
        </a:prstGeom>
      </xdr:spPr>
    </xdr:pic>
    <xdr:clientData/>
  </xdr:twoCellAnchor>
  <xdr:twoCellAnchor>
    <xdr:from>
      <xdr:col>3</xdr:col>
      <xdr:colOff>261258</xdr:colOff>
      <xdr:row>4</xdr:row>
      <xdr:rowOff>138793</xdr:rowOff>
    </xdr:from>
    <xdr:to>
      <xdr:col>5</xdr:col>
      <xdr:colOff>13607</xdr:colOff>
      <xdr:row>7</xdr:row>
      <xdr:rowOff>13608</xdr:rowOff>
    </xdr:to>
    <xdr:sp macro="" textlink="Pivot!B8">
      <xdr:nvSpPr>
        <xdr:cNvPr id="23" name="TextBox 22"/>
        <xdr:cNvSpPr txBox="1"/>
      </xdr:nvSpPr>
      <xdr:spPr>
        <a:xfrm>
          <a:off x="2302329" y="846364"/>
          <a:ext cx="1113064" cy="40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5BFC5B-B183-44A8-84BA-013652FCA2AF}" type="TxLink">
            <a:rPr lang="en-US" sz="2400" b="1" i="0" u="none" strike="noStrike">
              <a:solidFill>
                <a:srgbClr val="000000"/>
              </a:solidFill>
              <a:latin typeface="Aptos Narrow"/>
            </a:rPr>
            <a:pPr algn="ctr"/>
            <a:t>23.0M</a:t>
          </a:fld>
          <a:endParaRPr lang="en-US" sz="2400" b="1"/>
        </a:p>
      </xdr:txBody>
    </xdr:sp>
    <xdr:clientData/>
  </xdr:twoCellAnchor>
  <xdr:twoCellAnchor>
    <xdr:from>
      <xdr:col>3</xdr:col>
      <xdr:colOff>127907</xdr:colOff>
      <xdr:row>7</xdr:row>
      <xdr:rowOff>59871</xdr:rowOff>
    </xdr:from>
    <xdr:to>
      <xdr:col>5</xdr:col>
      <xdr:colOff>244927</xdr:colOff>
      <xdr:row>9</xdr:row>
      <xdr:rowOff>1</xdr:rowOff>
    </xdr:to>
    <xdr:sp macro="" textlink="">
      <xdr:nvSpPr>
        <xdr:cNvPr id="24" name="TextBox 23"/>
        <xdr:cNvSpPr txBox="1"/>
      </xdr:nvSpPr>
      <xdr:spPr>
        <a:xfrm>
          <a:off x="2168978" y="1298121"/>
          <a:ext cx="1477735" cy="29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ptos Narrow"/>
            </a:rPr>
            <a:t>Total</a:t>
          </a:r>
          <a:r>
            <a:rPr lang="en-US" sz="1400" b="0" i="0" u="none" strike="noStrike" baseline="0">
              <a:solidFill>
                <a:srgbClr val="000000"/>
              </a:solidFill>
              <a:latin typeface="Aptos Narrow"/>
            </a:rPr>
            <a:t> Sales</a:t>
          </a:r>
          <a:endParaRPr lang="en-US" sz="1400" b="0" i="0" u="none" strike="noStrike">
            <a:solidFill>
              <a:srgbClr val="000000"/>
            </a:solidFill>
            <a:latin typeface="Aptos Narrow"/>
          </a:endParaRPr>
        </a:p>
      </xdr:txBody>
    </xdr:sp>
    <xdr:clientData/>
  </xdr:twoCellAnchor>
  <xdr:twoCellAnchor>
    <xdr:from>
      <xdr:col>6</xdr:col>
      <xdr:colOff>345621</xdr:colOff>
      <xdr:row>7</xdr:row>
      <xdr:rowOff>46265</xdr:rowOff>
    </xdr:from>
    <xdr:to>
      <xdr:col>8</xdr:col>
      <xdr:colOff>367394</xdr:colOff>
      <xdr:row>9</xdr:row>
      <xdr:rowOff>54429</xdr:rowOff>
    </xdr:to>
    <xdr:sp macro="" textlink="">
      <xdr:nvSpPr>
        <xdr:cNvPr id="28" name="TextBox 27"/>
        <xdr:cNvSpPr txBox="1"/>
      </xdr:nvSpPr>
      <xdr:spPr>
        <a:xfrm>
          <a:off x="4427764" y="1284515"/>
          <a:ext cx="138248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ptos Narrow"/>
            </a:rPr>
            <a:t>Total</a:t>
          </a:r>
          <a:r>
            <a:rPr lang="en-US" sz="1400" b="0" i="0" u="none" strike="noStrike" baseline="0">
              <a:solidFill>
                <a:srgbClr val="000000"/>
              </a:solidFill>
              <a:latin typeface="Aptos Narrow"/>
            </a:rPr>
            <a:t> Orders</a:t>
          </a:r>
          <a:endParaRPr lang="en-US" sz="1400" b="0" i="0" u="none" strike="noStrike">
            <a:solidFill>
              <a:srgbClr val="000000"/>
            </a:solidFill>
            <a:latin typeface="Aptos Narrow"/>
          </a:endParaRPr>
        </a:p>
      </xdr:txBody>
    </xdr:sp>
    <xdr:clientData/>
  </xdr:twoCellAnchor>
  <xdr:twoCellAnchor>
    <xdr:from>
      <xdr:col>9</xdr:col>
      <xdr:colOff>394608</xdr:colOff>
      <xdr:row>7</xdr:row>
      <xdr:rowOff>59872</xdr:rowOff>
    </xdr:from>
    <xdr:to>
      <xdr:col>11</xdr:col>
      <xdr:colOff>639536</xdr:colOff>
      <xdr:row>9</xdr:row>
      <xdr:rowOff>40821</xdr:rowOff>
    </xdr:to>
    <xdr:sp macro="" textlink="">
      <xdr:nvSpPr>
        <xdr:cNvPr id="30" name="TextBox 29"/>
        <xdr:cNvSpPr txBox="1"/>
      </xdr:nvSpPr>
      <xdr:spPr>
        <a:xfrm>
          <a:off x="6517822" y="1298122"/>
          <a:ext cx="1605643" cy="33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ptos Narrow"/>
            </a:rPr>
            <a:t>Total</a:t>
          </a:r>
          <a:r>
            <a:rPr lang="en-US" sz="1400" b="0" i="0" u="none" strike="noStrike" baseline="0">
              <a:solidFill>
                <a:srgbClr val="000000"/>
              </a:solidFill>
              <a:latin typeface="Aptos Narrow"/>
            </a:rPr>
            <a:t> Quantity</a:t>
          </a:r>
          <a:endParaRPr lang="en-US" sz="1400" b="0" i="0" u="none" strike="noStrike">
            <a:solidFill>
              <a:srgbClr val="000000"/>
            </a:solidFill>
            <a:latin typeface="Aptos Narrow"/>
          </a:endParaRPr>
        </a:p>
      </xdr:txBody>
    </xdr:sp>
    <xdr:clientData/>
  </xdr:twoCellAnchor>
  <xdr:twoCellAnchor>
    <xdr:from>
      <xdr:col>12</xdr:col>
      <xdr:colOff>612323</xdr:colOff>
      <xdr:row>7</xdr:row>
      <xdr:rowOff>46265</xdr:rowOff>
    </xdr:from>
    <xdr:to>
      <xdr:col>15</xdr:col>
      <xdr:colOff>176894</xdr:colOff>
      <xdr:row>8</xdr:row>
      <xdr:rowOff>149679</xdr:rowOff>
    </xdr:to>
    <xdr:sp macro="" textlink="">
      <xdr:nvSpPr>
        <xdr:cNvPr id="31" name="TextBox 30"/>
        <xdr:cNvSpPr txBox="1"/>
      </xdr:nvSpPr>
      <xdr:spPr>
        <a:xfrm>
          <a:off x="8776609" y="1284515"/>
          <a:ext cx="1605642" cy="28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ptos Narrow"/>
            </a:rPr>
            <a:t>Average</a:t>
          </a:r>
          <a:r>
            <a:rPr lang="en-US" sz="1400" b="0" i="0" u="none" strike="noStrike" baseline="0">
              <a:solidFill>
                <a:srgbClr val="000000"/>
              </a:solidFill>
              <a:latin typeface="Aptos Narrow"/>
            </a:rPr>
            <a:t> Rating</a:t>
          </a:r>
          <a:endParaRPr lang="en-US" sz="1400" b="0" i="0" u="none" strike="noStrike">
            <a:solidFill>
              <a:srgbClr val="000000"/>
            </a:solidFill>
            <a:latin typeface="Aptos Narrow"/>
          </a:endParaRPr>
        </a:p>
      </xdr:txBody>
    </xdr:sp>
    <xdr:clientData/>
  </xdr:twoCellAnchor>
  <xdr:twoCellAnchor>
    <xdr:from>
      <xdr:col>16</xdr:col>
      <xdr:colOff>149679</xdr:colOff>
      <xdr:row>7</xdr:row>
      <xdr:rowOff>40820</xdr:rowOff>
    </xdr:from>
    <xdr:to>
      <xdr:col>18</xdr:col>
      <xdr:colOff>408214</xdr:colOff>
      <xdr:row>9</xdr:row>
      <xdr:rowOff>68036</xdr:rowOff>
    </xdr:to>
    <xdr:sp macro="" textlink="">
      <xdr:nvSpPr>
        <xdr:cNvPr id="32" name="TextBox 31"/>
        <xdr:cNvSpPr txBox="1"/>
      </xdr:nvSpPr>
      <xdr:spPr>
        <a:xfrm>
          <a:off x="11035393" y="1279070"/>
          <a:ext cx="1619250"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Aptos Narrow"/>
            </a:rPr>
            <a:t>Average</a:t>
          </a:r>
          <a:r>
            <a:rPr lang="en-US" sz="1400" b="0" i="0" u="none" strike="noStrike" baseline="0">
              <a:solidFill>
                <a:srgbClr val="000000"/>
              </a:solidFill>
              <a:latin typeface="Aptos Narrow"/>
            </a:rPr>
            <a:t> Delivery</a:t>
          </a:r>
          <a:endParaRPr lang="en-US" sz="1400" b="0" i="0" u="none" strike="noStrike">
            <a:solidFill>
              <a:srgbClr val="000000"/>
            </a:solidFill>
            <a:latin typeface="Aptos Narrow"/>
          </a:endParaRPr>
        </a:p>
      </xdr:txBody>
    </xdr:sp>
    <xdr:clientData/>
  </xdr:twoCellAnchor>
  <xdr:twoCellAnchor>
    <xdr:from>
      <xdr:col>6</xdr:col>
      <xdr:colOff>489856</xdr:colOff>
      <xdr:row>4</xdr:row>
      <xdr:rowOff>149680</xdr:rowOff>
    </xdr:from>
    <xdr:to>
      <xdr:col>8</xdr:col>
      <xdr:colOff>204107</xdr:colOff>
      <xdr:row>7</xdr:row>
      <xdr:rowOff>24495</xdr:rowOff>
    </xdr:to>
    <xdr:sp macro="" textlink="Pivot!B5">
      <xdr:nvSpPr>
        <xdr:cNvPr id="34" name="TextBox 33"/>
        <xdr:cNvSpPr txBox="1"/>
      </xdr:nvSpPr>
      <xdr:spPr>
        <a:xfrm>
          <a:off x="4571999" y="857251"/>
          <a:ext cx="1074965" cy="40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FCAE221-8304-452E-812F-33BF7E4F962A}" type="TxLink">
            <a:rPr lang="en-US" sz="2400" b="1" i="0" u="none" strike="noStrike">
              <a:solidFill>
                <a:srgbClr val="000000"/>
              </a:solidFill>
              <a:latin typeface="Aptos Narrow"/>
              <a:ea typeface="+mn-ea"/>
              <a:cs typeface="+mn-cs"/>
            </a:rPr>
            <a:pPr marL="0" indent="0" algn="ctr"/>
            <a:t>500</a:t>
          </a:fld>
          <a:endParaRPr lang="en-US" sz="2400" b="1" i="0" u="none" strike="noStrike">
            <a:solidFill>
              <a:srgbClr val="000000"/>
            </a:solidFill>
            <a:latin typeface="Aptos Narrow"/>
            <a:ea typeface="+mn-ea"/>
            <a:cs typeface="+mn-cs"/>
          </a:endParaRPr>
        </a:p>
      </xdr:txBody>
    </xdr:sp>
    <xdr:clientData/>
  </xdr:twoCellAnchor>
  <xdr:twoCellAnchor>
    <xdr:from>
      <xdr:col>10</xdr:col>
      <xdr:colOff>40822</xdr:colOff>
      <xdr:row>5</xdr:row>
      <xdr:rowOff>0</xdr:rowOff>
    </xdr:from>
    <xdr:to>
      <xdr:col>11</xdr:col>
      <xdr:colOff>187778</xdr:colOff>
      <xdr:row>7</xdr:row>
      <xdr:rowOff>51708</xdr:rowOff>
    </xdr:to>
    <xdr:sp macro="" textlink="Pivot!B6">
      <xdr:nvSpPr>
        <xdr:cNvPr id="35" name="TextBox 34"/>
        <xdr:cNvSpPr txBox="1"/>
      </xdr:nvSpPr>
      <xdr:spPr>
        <a:xfrm>
          <a:off x="6844393" y="884464"/>
          <a:ext cx="827314" cy="40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3BE12D-85E7-41A2-84AB-A963CD66E4C1}" type="TxLink">
            <a:rPr lang="en-US" sz="2400" b="1" i="0" u="none" strike="noStrike">
              <a:solidFill>
                <a:srgbClr val="000000"/>
              </a:solidFill>
              <a:latin typeface="Aptos Narrow"/>
              <a:ea typeface="+mn-ea"/>
              <a:cs typeface="+mn-cs"/>
            </a:rPr>
            <a:pPr marL="0" indent="0" algn="ctr"/>
            <a:t>2.3K</a:t>
          </a:fld>
          <a:endParaRPr lang="en-US" sz="2400" b="1" i="0" u="none" strike="noStrike">
            <a:solidFill>
              <a:srgbClr val="000000"/>
            </a:solidFill>
            <a:latin typeface="Aptos Narrow"/>
            <a:ea typeface="+mn-ea"/>
            <a:cs typeface="+mn-cs"/>
          </a:endParaRPr>
        </a:p>
      </xdr:txBody>
    </xdr:sp>
    <xdr:clientData/>
  </xdr:twoCellAnchor>
  <xdr:twoCellAnchor>
    <xdr:from>
      <xdr:col>13</xdr:col>
      <xdr:colOff>204107</xdr:colOff>
      <xdr:row>4</xdr:row>
      <xdr:rowOff>176892</xdr:rowOff>
    </xdr:from>
    <xdr:to>
      <xdr:col>14</xdr:col>
      <xdr:colOff>351064</xdr:colOff>
      <xdr:row>7</xdr:row>
      <xdr:rowOff>51707</xdr:rowOff>
    </xdr:to>
    <xdr:sp macro="" textlink="Pivot!B4">
      <xdr:nvSpPr>
        <xdr:cNvPr id="36" name="TextBox 35"/>
        <xdr:cNvSpPr txBox="1"/>
      </xdr:nvSpPr>
      <xdr:spPr>
        <a:xfrm>
          <a:off x="9048750" y="884463"/>
          <a:ext cx="827314" cy="40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FBA9651-E8D5-479C-B0A9-67868B9B352B}" type="TxLink">
            <a:rPr lang="en-US" sz="2400" b="1" i="0" u="none" strike="noStrike">
              <a:solidFill>
                <a:srgbClr val="000000"/>
              </a:solidFill>
              <a:latin typeface="Aptos Narrow"/>
              <a:ea typeface="+mn-ea"/>
              <a:cs typeface="+mn-cs"/>
            </a:rPr>
            <a:pPr marL="0" indent="0" algn="ctr"/>
            <a:t>4.12</a:t>
          </a:fld>
          <a:endParaRPr lang="en-US" sz="2400" b="1" i="0" u="none" strike="noStrike">
            <a:solidFill>
              <a:srgbClr val="000000"/>
            </a:solidFill>
            <a:latin typeface="Aptos Narrow"/>
            <a:ea typeface="+mn-ea"/>
            <a:cs typeface="+mn-cs"/>
          </a:endParaRPr>
        </a:p>
      </xdr:txBody>
    </xdr:sp>
    <xdr:clientData/>
  </xdr:twoCellAnchor>
  <xdr:twoCellAnchor>
    <xdr:from>
      <xdr:col>16</xdr:col>
      <xdr:colOff>476251</xdr:colOff>
      <xdr:row>4</xdr:row>
      <xdr:rowOff>163286</xdr:rowOff>
    </xdr:from>
    <xdr:to>
      <xdr:col>17</xdr:col>
      <xdr:colOff>623208</xdr:colOff>
      <xdr:row>7</xdr:row>
      <xdr:rowOff>38101</xdr:rowOff>
    </xdr:to>
    <xdr:sp macro="" textlink="Pivot!B7">
      <xdr:nvSpPr>
        <xdr:cNvPr id="37" name="TextBox 36"/>
        <xdr:cNvSpPr txBox="1"/>
      </xdr:nvSpPr>
      <xdr:spPr>
        <a:xfrm>
          <a:off x="11361965" y="870857"/>
          <a:ext cx="827314" cy="40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3270810-180E-4DCB-8927-0F547852B060}" type="TxLink">
            <a:rPr lang="en-US" sz="2400" b="1" i="0" u="none" strike="noStrike">
              <a:solidFill>
                <a:srgbClr val="000000"/>
              </a:solidFill>
              <a:latin typeface="Aptos Narrow"/>
              <a:ea typeface="+mn-ea"/>
              <a:cs typeface="+mn-cs"/>
            </a:rPr>
            <a:pPr marL="0" indent="0" algn="ctr"/>
            <a:t>4.29</a:t>
          </a:fld>
          <a:endParaRPr lang="en-US" sz="2400" b="1" i="0" u="none" strike="noStrike">
            <a:solidFill>
              <a:srgbClr val="000000"/>
            </a:solidFill>
            <a:latin typeface="Aptos Narrow"/>
            <a:ea typeface="+mn-ea"/>
            <a:cs typeface="+mn-cs"/>
          </a:endParaRPr>
        </a:p>
      </xdr:txBody>
    </xdr:sp>
    <xdr:clientData/>
  </xdr:twoCellAnchor>
  <xdr:twoCellAnchor>
    <xdr:from>
      <xdr:col>2</xdr:col>
      <xdr:colOff>367394</xdr:colOff>
      <xdr:row>10</xdr:row>
      <xdr:rowOff>122463</xdr:rowOff>
    </xdr:from>
    <xdr:to>
      <xdr:col>7</xdr:col>
      <xdr:colOff>272144</xdr:colOff>
      <xdr:row>20</xdr:row>
      <xdr:rowOff>149678</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519793</xdr:colOff>
      <xdr:row>10</xdr:row>
      <xdr:rowOff>166007</xdr:rowOff>
    </xdr:from>
    <xdr:to>
      <xdr:col>6</xdr:col>
      <xdr:colOff>394607</xdr:colOff>
      <xdr:row>12</xdr:row>
      <xdr:rowOff>68036</xdr:rowOff>
    </xdr:to>
    <xdr:sp macro="" textlink="">
      <xdr:nvSpPr>
        <xdr:cNvPr id="40" name="TextBox 39"/>
        <xdr:cNvSpPr txBox="1"/>
      </xdr:nvSpPr>
      <xdr:spPr>
        <a:xfrm>
          <a:off x="2560864" y="1989364"/>
          <a:ext cx="1915886" cy="31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ptos Narrow"/>
              <a:ea typeface="+mn-ea"/>
              <a:cs typeface="+mn-cs"/>
            </a:rPr>
            <a:t>Sales</a:t>
          </a:r>
          <a:r>
            <a:rPr lang="en-US" sz="1200" b="1" i="0" u="none" strike="noStrike" baseline="0">
              <a:solidFill>
                <a:srgbClr val="000000"/>
              </a:solidFill>
              <a:latin typeface="Aptos Narrow"/>
              <a:ea typeface="+mn-ea"/>
              <a:cs typeface="+mn-cs"/>
            </a:rPr>
            <a:t> By Month</a:t>
          </a:r>
          <a:endParaRPr lang="en-US" sz="1200" b="1" i="0" u="none" strike="noStrike">
            <a:solidFill>
              <a:srgbClr val="000000"/>
            </a:solidFill>
            <a:latin typeface="Aptos Narrow"/>
            <a:ea typeface="+mn-ea"/>
            <a:cs typeface="+mn-cs"/>
          </a:endParaRPr>
        </a:p>
      </xdr:txBody>
    </xdr:sp>
    <xdr:clientData/>
  </xdr:twoCellAnchor>
  <xdr:twoCellAnchor>
    <xdr:from>
      <xdr:col>7</xdr:col>
      <xdr:colOff>516272</xdr:colOff>
      <xdr:row>10</xdr:row>
      <xdr:rowOff>100852</xdr:rowOff>
    </xdr:from>
    <xdr:to>
      <xdr:col>12</xdr:col>
      <xdr:colOff>504265</xdr:colOff>
      <xdr:row>20</xdr:row>
      <xdr:rowOff>134470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179294</xdr:colOff>
      <xdr:row>9</xdr:row>
      <xdr:rowOff>112059</xdr:rowOff>
    </xdr:from>
    <xdr:to>
      <xdr:col>11</xdr:col>
      <xdr:colOff>638736</xdr:colOff>
      <xdr:row>13</xdr:row>
      <xdr:rowOff>33616</xdr:rowOff>
    </xdr:to>
    <xdr:sp macro="" textlink="">
      <xdr:nvSpPr>
        <xdr:cNvPr id="41" name="TextBox 40"/>
        <xdr:cNvSpPr txBox="1"/>
      </xdr:nvSpPr>
      <xdr:spPr>
        <a:xfrm>
          <a:off x="6331323" y="1770530"/>
          <a:ext cx="1826560" cy="683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baseline="0">
              <a:solidFill>
                <a:srgbClr val="000000"/>
              </a:solidFill>
              <a:latin typeface="Aptos Narrow"/>
              <a:ea typeface="+mn-ea"/>
              <a:cs typeface="+mn-cs"/>
            </a:rPr>
            <a:t>Sales</a:t>
          </a:r>
          <a:r>
            <a:rPr lang="en-US" sz="2400" b="1" i="0" u="none" strike="noStrike" baseline="0">
              <a:solidFill>
                <a:srgbClr val="000000"/>
              </a:solidFill>
              <a:latin typeface="Aptos Narrow"/>
              <a:ea typeface="+mn-ea"/>
              <a:cs typeface="+mn-cs"/>
            </a:rPr>
            <a:t> </a:t>
          </a:r>
          <a:r>
            <a:rPr lang="en-US" sz="1200" b="1" i="0" u="none" strike="noStrike" baseline="0">
              <a:solidFill>
                <a:srgbClr val="000000"/>
              </a:solidFill>
              <a:latin typeface="Aptos Narrow"/>
              <a:ea typeface="+mn-ea"/>
              <a:cs typeface="+mn-cs"/>
            </a:rPr>
            <a:t>by</a:t>
          </a:r>
          <a:r>
            <a:rPr lang="en-US" sz="2400" b="1" i="0" u="none" strike="noStrike" baseline="0">
              <a:solidFill>
                <a:srgbClr val="000000"/>
              </a:solidFill>
              <a:latin typeface="Aptos Narrow"/>
              <a:ea typeface="+mn-ea"/>
              <a:cs typeface="+mn-cs"/>
            </a:rPr>
            <a:t> </a:t>
          </a:r>
          <a:r>
            <a:rPr lang="en-US" sz="1200" b="1" i="0" u="none" strike="noStrike" baseline="0">
              <a:solidFill>
                <a:srgbClr val="000000"/>
              </a:solidFill>
              <a:latin typeface="Aptos Narrow"/>
              <a:ea typeface="+mn-ea"/>
              <a:cs typeface="+mn-cs"/>
            </a:rPr>
            <a:t>Category</a:t>
          </a:r>
        </a:p>
      </xdr:txBody>
    </xdr:sp>
    <xdr:clientData/>
  </xdr:twoCellAnchor>
  <xdr:twoCellAnchor>
    <xdr:from>
      <xdr:col>13</xdr:col>
      <xdr:colOff>212911</xdr:colOff>
      <xdr:row>11</xdr:row>
      <xdr:rowOff>67236</xdr:rowOff>
    </xdr:from>
    <xdr:to>
      <xdr:col>18</xdr:col>
      <xdr:colOff>257735</xdr:colOff>
      <xdr:row>21</xdr:row>
      <xdr:rowOff>67236</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204106</xdr:colOff>
      <xdr:row>10</xdr:row>
      <xdr:rowOff>149678</xdr:rowOff>
    </xdr:from>
    <xdr:to>
      <xdr:col>17</xdr:col>
      <xdr:colOff>204106</xdr:colOff>
      <xdr:row>13</xdr:row>
      <xdr:rowOff>24494</xdr:rowOff>
    </xdr:to>
    <xdr:sp macro="" textlink="">
      <xdr:nvSpPr>
        <xdr:cNvPr id="43" name="TextBox 42"/>
        <xdr:cNvSpPr txBox="1"/>
      </xdr:nvSpPr>
      <xdr:spPr>
        <a:xfrm>
          <a:off x="9729106" y="1973035"/>
          <a:ext cx="2041071" cy="459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ptos Narrow"/>
              <a:ea typeface="+mn-ea"/>
              <a:cs typeface="+mn-cs"/>
            </a:rPr>
            <a:t>Sales</a:t>
          </a:r>
          <a:r>
            <a:rPr lang="en-US" sz="1200" b="1" i="0" u="none" strike="noStrike" baseline="0">
              <a:solidFill>
                <a:srgbClr val="000000"/>
              </a:solidFill>
              <a:latin typeface="Aptos Narrow"/>
              <a:ea typeface="+mn-ea"/>
              <a:cs typeface="+mn-cs"/>
            </a:rPr>
            <a:t> By States</a:t>
          </a:r>
          <a:endParaRPr lang="en-US" sz="1200" b="1" i="0" u="none" strike="noStrike">
            <a:solidFill>
              <a:srgbClr val="000000"/>
            </a:solidFill>
            <a:latin typeface="Aptos Narrow"/>
            <a:ea typeface="+mn-ea"/>
            <a:cs typeface="+mn-cs"/>
          </a:endParaRPr>
        </a:p>
      </xdr:txBody>
    </xdr:sp>
    <xdr:clientData/>
  </xdr:twoCellAnchor>
  <xdr:twoCellAnchor>
    <xdr:from>
      <xdr:col>2</xdr:col>
      <xdr:colOff>258535</xdr:colOff>
      <xdr:row>22</xdr:row>
      <xdr:rowOff>81644</xdr:rowOff>
    </xdr:from>
    <xdr:to>
      <xdr:col>7</xdr:col>
      <xdr:colOff>176892</xdr:colOff>
      <xdr:row>33</xdr:row>
      <xdr:rowOff>13609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421822</xdr:colOff>
      <xdr:row>22</xdr:row>
      <xdr:rowOff>13606</xdr:rowOff>
    </xdr:from>
    <xdr:to>
      <xdr:col>6</xdr:col>
      <xdr:colOff>312964</xdr:colOff>
      <xdr:row>23</xdr:row>
      <xdr:rowOff>108856</xdr:rowOff>
    </xdr:to>
    <xdr:sp macro="" textlink="">
      <xdr:nvSpPr>
        <xdr:cNvPr id="45" name="TextBox 44"/>
        <xdr:cNvSpPr txBox="1"/>
      </xdr:nvSpPr>
      <xdr:spPr>
        <a:xfrm>
          <a:off x="2462893" y="4014106"/>
          <a:ext cx="193221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ptos Narrow"/>
              <a:ea typeface="+mn-ea"/>
              <a:cs typeface="+mn-cs"/>
            </a:rPr>
            <a:t>Sales</a:t>
          </a:r>
          <a:r>
            <a:rPr lang="en-US" sz="1200" b="1" i="0" u="none" strike="noStrike" baseline="0">
              <a:solidFill>
                <a:srgbClr val="000000"/>
              </a:solidFill>
              <a:latin typeface="Aptos Narrow"/>
              <a:ea typeface="+mn-ea"/>
              <a:cs typeface="+mn-cs"/>
            </a:rPr>
            <a:t> By Payment</a:t>
          </a:r>
          <a:endParaRPr lang="en-US" sz="1200" b="1" i="0" u="none" strike="noStrike">
            <a:solidFill>
              <a:srgbClr val="000000"/>
            </a:solidFill>
            <a:latin typeface="Aptos Narrow"/>
            <a:ea typeface="+mn-ea"/>
            <a:cs typeface="+mn-cs"/>
          </a:endParaRPr>
        </a:p>
      </xdr:txBody>
    </xdr:sp>
    <xdr:clientData/>
  </xdr:twoCellAnchor>
  <xdr:twoCellAnchor>
    <xdr:from>
      <xdr:col>7</xdr:col>
      <xdr:colOff>598714</xdr:colOff>
      <xdr:row>22</xdr:row>
      <xdr:rowOff>81643</xdr:rowOff>
    </xdr:from>
    <xdr:to>
      <xdr:col>12</xdr:col>
      <xdr:colOff>585107</xdr:colOff>
      <xdr:row>33</xdr:row>
      <xdr:rowOff>13607</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122465</xdr:colOff>
      <xdr:row>21</xdr:row>
      <xdr:rowOff>163287</xdr:rowOff>
    </xdr:from>
    <xdr:to>
      <xdr:col>11</xdr:col>
      <xdr:colOff>598714</xdr:colOff>
      <xdr:row>23</xdr:row>
      <xdr:rowOff>95251</xdr:rowOff>
    </xdr:to>
    <xdr:sp macro="" textlink="">
      <xdr:nvSpPr>
        <xdr:cNvPr id="47" name="TextBox 46"/>
        <xdr:cNvSpPr txBox="1"/>
      </xdr:nvSpPr>
      <xdr:spPr>
        <a:xfrm>
          <a:off x="6245679" y="3986894"/>
          <a:ext cx="18369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ptos Narrow"/>
              <a:ea typeface="+mn-ea"/>
              <a:cs typeface="+mn-cs"/>
            </a:rPr>
            <a:t>Sales</a:t>
          </a:r>
          <a:r>
            <a:rPr lang="en-US" sz="1200" b="1" i="0" u="none" strike="noStrike" baseline="0">
              <a:solidFill>
                <a:srgbClr val="000000"/>
              </a:solidFill>
              <a:latin typeface="Aptos Narrow"/>
              <a:ea typeface="+mn-ea"/>
              <a:cs typeface="+mn-cs"/>
            </a:rPr>
            <a:t> BY Product</a:t>
          </a:r>
          <a:endParaRPr lang="en-US" sz="1200" b="1" i="0" u="none" strike="noStrike">
            <a:solidFill>
              <a:srgbClr val="000000"/>
            </a:solidFill>
            <a:latin typeface="Aptos Narrow"/>
            <a:ea typeface="+mn-ea"/>
            <a:cs typeface="+mn-cs"/>
          </a:endParaRPr>
        </a:p>
      </xdr:txBody>
    </xdr:sp>
    <xdr:clientData/>
  </xdr:twoCellAnchor>
  <xdr:twoCellAnchor>
    <xdr:from>
      <xdr:col>13</xdr:col>
      <xdr:colOff>258535</xdr:colOff>
      <xdr:row>22</xdr:row>
      <xdr:rowOff>95249</xdr:rowOff>
    </xdr:from>
    <xdr:to>
      <xdr:col>18</xdr:col>
      <xdr:colOff>340177</xdr:colOff>
      <xdr:row>33</xdr:row>
      <xdr:rowOff>54429</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557893</xdr:colOff>
      <xdr:row>22</xdr:row>
      <xdr:rowOff>0</xdr:rowOff>
    </xdr:from>
    <xdr:to>
      <xdr:col>17</xdr:col>
      <xdr:colOff>217714</xdr:colOff>
      <xdr:row>23</xdr:row>
      <xdr:rowOff>68036</xdr:rowOff>
    </xdr:to>
    <xdr:sp macro="" textlink="">
      <xdr:nvSpPr>
        <xdr:cNvPr id="50" name="TextBox 49"/>
        <xdr:cNvSpPr txBox="1"/>
      </xdr:nvSpPr>
      <xdr:spPr>
        <a:xfrm>
          <a:off x="10082893" y="4000500"/>
          <a:ext cx="1700892"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i="0" u="none" strike="noStrike">
              <a:solidFill>
                <a:srgbClr val="000000"/>
              </a:solidFill>
              <a:latin typeface="Aptos Narrow"/>
              <a:ea typeface="+mn-ea"/>
              <a:cs typeface="+mn-cs"/>
            </a:rPr>
            <a:t>Order</a:t>
          </a:r>
          <a:r>
            <a:rPr lang="en-US" sz="1200" b="1" i="0" u="none" strike="noStrike" baseline="0">
              <a:solidFill>
                <a:srgbClr val="000000"/>
              </a:solidFill>
              <a:latin typeface="Aptos Narrow"/>
              <a:ea typeface="+mn-ea"/>
              <a:cs typeface="+mn-cs"/>
            </a:rPr>
            <a:t> Details</a:t>
          </a:r>
          <a:endParaRPr lang="en-US" sz="1200" b="1" i="0" u="none" strike="noStrike">
            <a:solidFill>
              <a:srgbClr val="000000"/>
            </a:solidFill>
            <a:latin typeface="Aptos Narrow"/>
            <a:ea typeface="+mn-ea"/>
            <a:cs typeface="+mn-cs"/>
          </a:endParaRPr>
        </a:p>
      </xdr:txBody>
    </xdr:sp>
    <xdr:clientData/>
  </xdr:twoCellAnchor>
  <xdr:twoCellAnchor editAs="oneCell">
    <xdr:from>
      <xdr:col>0</xdr:col>
      <xdr:colOff>149678</xdr:colOff>
      <xdr:row>13</xdr:row>
      <xdr:rowOff>81642</xdr:rowOff>
    </xdr:from>
    <xdr:to>
      <xdr:col>2</xdr:col>
      <xdr:colOff>136072</xdr:colOff>
      <xdr:row>22</xdr:row>
      <xdr:rowOff>136072</xdr:rowOff>
    </xdr:to>
    <mc:AlternateContent xmlns:mc="http://schemas.openxmlformats.org/markup-compatibility/2006">
      <mc:Choice xmlns:a14="http://schemas.microsoft.com/office/drawing/2010/main" Requires="a14">
        <xdr:graphicFrame macro="">
          <xdr:nvGraphicFramePr>
            <xdr:cNvPr id="51" name="Selle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149678" y="2502113"/>
              <a:ext cx="1353512" cy="1668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149678</xdr:colOff>
      <xdr:row>23</xdr:row>
      <xdr:rowOff>54428</xdr:rowOff>
    </xdr:from>
    <xdr:to>
      <xdr:col>2</xdr:col>
      <xdr:colOff>136072</xdr:colOff>
      <xdr:row>32</xdr:row>
      <xdr:rowOff>13607</xdr:rowOff>
    </xdr:to>
    <mc:AlternateContent xmlns:mc="http://schemas.openxmlformats.org/markup-compatibility/2006">
      <mc:Choice xmlns:a14="http://schemas.microsoft.com/office/drawing/2010/main" Requires="a14">
        <xdr:graphicFrame macro="">
          <xdr:nvGraphicFramePr>
            <xdr:cNvPr id="52"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49678" y="4267840"/>
              <a:ext cx="1353512" cy="1572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136069</xdr:colOff>
      <xdr:row>5</xdr:row>
      <xdr:rowOff>27214</xdr:rowOff>
    </xdr:from>
    <xdr:to>
      <xdr:col>2</xdr:col>
      <xdr:colOff>136070</xdr:colOff>
      <xdr:row>12</xdr:row>
      <xdr:rowOff>163286</xdr:rowOff>
    </xdr:to>
    <mc:AlternateContent xmlns:mc="http://schemas.openxmlformats.org/markup-compatibility/2006">
      <mc:Choice xmlns:a14="http://schemas.microsoft.com/office/drawing/2010/main" Requires="a14">
        <xdr:graphicFrame macro="">
          <xdr:nvGraphicFramePr>
            <xdr:cNvPr id="5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6069" y="923685"/>
              <a:ext cx="1367119" cy="1480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70.474517939816" createdVersion="6" refreshedVersion="6" minRefreshableVersion="3" recordCount="500">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s v="21/05/2025"/>
    <x v="0"/>
    <x v="0"/>
    <x v="0"/>
    <x v="0"/>
    <x v="0"/>
    <x v="0"/>
    <n v="3028"/>
    <n v="4"/>
    <n v="4.3"/>
    <n v="1"/>
    <x v="0"/>
  </r>
  <r>
    <x v="1"/>
    <s v="15/10/2025"/>
    <x v="1"/>
    <x v="1"/>
    <x v="1"/>
    <x v="1"/>
    <x v="1"/>
    <x v="1"/>
    <n v="32636"/>
    <n v="4"/>
    <n v="4.3"/>
    <n v="1"/>
    <x v="1"/>
  </r>
  <r>
    <x v="2"/>
    <s v="21/04/2025"/>
    <x v="2"/>
    <x v="2"/>
    <x v="2"/>
    <x v="1"/>
    <x v="1"/>
    <x v="2"/>
    <n v="313782"/>
    <n v="6"/>
    <n v="4.7"/>
    <n v="5"/>
    <x v="2"/>
  </r>
  <r>
    <x v="3"/>
    <s v="10/10/2025"/>
    <x v="3"/>
    <x v="3"/>
    <x v="3"/>
    <x v="0"/>
    <x v="0"/>
    <x v="2"/>
    <n v="11375"/>
    <n v="5"/>
    <n v="3.3"/>
    <n v="4"/>
    <x v="1"/>
  </r>
  <r>
    <x v="4"/>
    <s v="21/08/2025"/>
    <x v="4"/>
    <x v="4"/>
    <x v="3"/>
    <x v="1"/>
    <x v="0"/>
    <x v="0"/>
    <n v="14496"/>
    <n v="6"/>
    <n v="3.7"/>
    <n v="2"/>
    <x v="3"/>
  </r>
  <r>
    <x v="5"/>
    <s v="14/07/2025"/>
    <x v="5"/>
    <x v="5"/>
    <x v="4"/>
    <x v="2"/>
    <x v="2"/>
    <x v="0"/>
    <n v="5745"/>
    <n v="5"/>
    <n v="4.7"/>
    <n v="6"/>
    <x v="4"/>
  </r>
  <r>
    <x v="6"/>
    <s v="19/04/2025"/>
    <x v="6"/>
    <x v="6"/>
    <x v="1"/>
    <x v="3"/>
    <x v="1"/>
    <x v="1"/>
    <n v="24696"/>
    <n v="8"/>
    <n v="3.6"/>
    <n v="5"/>
    <x v="2"/>
  </r>
  <r>
    <x v="7"/>
    <s v="18/09/2025"/>
    <x v="4"/>
    <x v="7"/>
    <x v="4"/>
    <x v="0"/>
    <x v="1"/>
    <x v="3"/>
    <n v="3536"/>
    <n v="8"/>
    <n v="3.5"/>
    <n v="7"/>
    <x v="5"/>
  </r>
  <r>
    <x v="8"/>
    <s v="28/09/2025"/>
    <x v="7"/>
    <x v="8"/>
    <x v="1"/>
    <x v="2"/>
    <x v="1"/>
    <x v="0"/>
    <n v="25855"/>
    <n v="5"/>
    <n v="4.5999999999999996"/>
    <n v="6"/>
    <x v="5"/>
  </r>
  <r>
    <x v="9"/>
    <s v="15/05/2025"/>
    <x v="8"/>
    <x v="3"/>
    <x v="3"/>
    <x v="2"/>
    <x v="0"/>
    <x v="2"/>
    <n v="9432"/>
    <n v="3"/>
    <n v="4.0999999999999996"/>
    <n v="4"/>
    <x v="0"/>
  </r>
  <r>
    <x v="10"/>
    <s v="08/09/2025"/>
    <x v="9"/>
    <x v="6"/>
    <x v="1"/>
    <x v="1"/>
    <x v="1"/>
    <x v="2"/>
    <n v="1749"/>
    <n v="1"/>
    <n v="3.6"/>
    <n v="2"/>
    <x v="5"/>
  </r>
  <r>
    <x v="11"/>
    <s v="07/03/2025"/>
    <x v="10"/>
    <x v="9"/>
    <x v="1"/>
    <x v="1"/>
    <x v="0"/>
    <x v="1"/>
    <n v="85904"/>
    <n v="8"/>
    <n v="4"/>
    <n v="4"/>
    <x v="6"/>
  </r>
  <r>
    <x v="12"/>
    <s v="13/08/2025"/>
    <x v="6"/>
    <x v="4"/>
    <x v="3"/>
    <x v="4"/>
    <x v="2"/>
    <x v="2"/>
    <n v="9792"/>
    <n v="8"/>
    <n v="3.2"/>
    <n v="4"/>
    <x v="3"/>
  </r>
  <r>
    <x v="13"/>
    <s v="04/02/2025"/>
    <x v="10"/>
    <x v="10"/>
    <x v="0"/>
    <x v="4"/>
    <x v="1"/>
    <x v="0"/>
    <n v="976"/>
    <n v="1"/>
    <n v="4.4000000000000004"/>
    <n v="4"/>
    <x v="7"/>
  </r>
  <r>
    <x v="14"/>
    <s v="08/04/2025"/>
    <x v="7"/>
    <x v="11"/>
    <x v="3"/>
    <x v="0"/>
    <x v="1"/>
    <x v="1"/>
    <n v="8338"/>
    <n v="2"/>
    <n v="4"/>
    <n v="1"/>
    <x v="2"/>
  </r>
  <r>
    <x v="15"/>
    <s v="09/04/2025"/>
    <x v="9"/>
    <x v="10"/>
    <x v="0"/>
    <x v="3"/>
    <x v="2"/>
    <x v="2"/>
    <n v="5592"/>
    <n v="4"/>
    <n v="3.7"/>
    <n v="4"/>
    <x v="2"/>
  </r>
  <r>
    <x v="16"/>
    <s v="17/02/2025"/>
    <x v="1"/>
    <x v="1"/>
    <x v="1"/>
    <x v="3"/>
    <x v="2"/>
    <x v="3"/>
    <n v="17208"/>
    <n v="4"/>
    <n v="4.8"/>
    <n v="1"/>
    <x v="7"/>
  </r>
  <r>
    <x v="17"/>
    <s v="27/05/2025"/>
    <x v="6"/>
    <x v="12"/>
    <x v="2"/>
    <x v="1"/>
    <x v="2"/>
    <x v="1"/>
    <n v="159523"/>
    <n v="7"/>
    <n v="3.6"/>
    <n v="1"/>
    <x v="0"/>
  </r>
  <r>
    <x v="18"/>
    <s v="27/10/2025"/>
    <x v="9"/>
    <x v="0"/>
    <x v="0"/>
    <x v="5"/>
    <x v="2"/>
    <x v="0"/>
    <n v="10632"/>
    <n v="8"/>
    <n v="3.3"/>
    <n v="3"/>
    <x v="1"/>
  </r>
  <r>
    <x v="19"/>
    <s v="19/10/2025"/>
    <x v="11"/>
    <x v="3"/>
    <x v="3"/>
    <x v="5"/>
    <x v="3"/>
    <x v="0"/>
    <n v="5484"/>
    <n v="4"/>
    <n v="4.4000000000000004"/>
    <n v="6"/>
    <x v="1"/>
  </r>
  <r>
    <x v="20"/>
    <s v="09/03/2025"/>
    <x v="9"/>
    <x v="12"/>
    <x v="2"/>
    <x v="5"/>
    <x v="0"/>
    <x v="1"/>
    <n v="60040"/>
    <n v="5"/>
    <n v="4.3"/>
    <n v="2"/>
    <x v="6"/>
  </r>
  <r>
    <x v="21"/>
    <s v="05/02/2025"/>
    <x v="10"/>
    <x v="13"/>
    <x v="4"/>
    <x v="2"/>
    <x v="2"/>
    <x v="0"/>
    <n v="5668"/>
    <n v="4"/>
    <n v="4.5"/>
    <n v="1"/>
    <x v="7"/>
  </r>
  <r>
    <x v="22"/>
    <s v="24/02/2025"/>
    <x v="12"/>
    <x v="14"/>
    <x v="2"/>
    <x v="3"/>
    <x v="3"/>
    <x v="2"/>
    <n v="245328"/>
    <n v="3"/>
    <n v="3.6"/>
    <n v="5"/>
    <x v="7"/>
  </r>
  <r>
    <x v="23"/>
    <s v="22/05/2025"/>
    <x v="10"/>
    <x v="15"/>
    <x v="0"/>
    <x v="1"/>
    <x v="1"/>
    <x v="2"/>
    <n v="307"/>
    <n v="1"/>
    <n v="3.5"/>
    <n v="8"/>
    <x v="0"/>
  </r>
  <r>
    <x v="24"/>
    <s v="20/12/2025"/>
    <x v="2"/>
    <x v="0"/>
    <x v="0"/>
    <x v="2"/>
    <x v="3"/>
    <x v="2"/>
    <n v="4251"/>
    <n v="3"/>
    <n v="3.5"/>
    <n v="3"/>
    <x v="8"/>
  </r>
  <r>
    <x v="25"/>
    <s v="16/12/2025"/>
    <x v="13"/>
    <x v="2"/>
    <x v="2"/>
    <x v="4"/>
    <x v="0"/>
    <x v="3"/>
    <n v="195428"/>
    <n v="4"/>
    <n v="5"/>
    <n v="3"/>
    <x v="8"/>
  </r>
  <r>
    <x v="26"/>
    <s v="20/06/2025"/>
    <x v="14"/>
    <x v="10"/>
    <x v="0"/>
    <x v="4"/>
    <x v="0"/>
    <x v="3"/>
    <n v="11697"/>
    <n v="7"/>
    <n v="3.9"/>
    <n v="1"/>
    <x v="9"/>
  </r>
  <r>
    <x v="27"/>
    <s v="27/04/2025"/>
    <x v="15"/>
    <x v="16"/>
    <x v="2"/>
    <x v="1"/>
    <x v="1"/>
    <x v="1"/>
    <n v="218908"/>
    <n v="4"/>
    <n v="4.8"/>
    <n v="5"/>
    <x v="2"/>
  </r>
  <r>
    <x v="28"/>
    <s v="14/05/2025"/>
    <x v="16"/>
    <x v="0"/>
    <x v="0"/>
    <x v="5"/>
    <x v="2"/>
    <x v="3"/>
    <n v="4467"/>
    <n v="3"/>
    <n v="4"/>
    <n v="6"/>
    <x v="0"/>
  </r>
  <r>
    <x v="29"/>
    <s v="11/05/2025"/>
    <x v="15"/>
    <x v="9"/>
    <x v="1"/>
    <x v="3"/>
    <x v="2"/>
    <x v="1"/>
    <n v="9621"/>
    <n v="1"/>
    <n v="4.4000000000000004"/>
    <n v="4"/>
    <x v="0"/>
  </r>
  <r>
    <x v="30"/>
    <s v="06/12/2025"/>
    <x v="3"/>
    <x v="6"/>
    <x v="1"/>
    <x v="5"/>
    <x v="0"/>
    <x v="0"/>
    <n v="23452"/>
    <n v="2"/>
    <n v="3.9"/>
    <n v="7"/>
    <x v="8"/>
  </r>
  <r>
    <x v="31"/>
    <s v="13/12/2025"/>
    <x v="16"/>
    <x v="11"/>
    <x v="3"/>
    <x v="5"/>
    <x v="3"/>
    <x v="3"/>
    <n v="15564"/>
    <n v="3"/>
    <n v="3.7"/>
    <n v="4"/>
    <x v="8"/>
  </r>
  <r>
    <x v="32"/>
    <s v="12/12/2025"/>
    <x v="9"/>
    <x v="11"/>
    <x v="3"/>
    <x v="4"/>
    <x v="3"/>
    <x v="0"/>
    <n v="5576"/>
    <n v="4"/>
    <n v="4.0999999999999996"/>
    <n v="6"/>
    <x v="8"/>
  </r>
  <r>
    <x v="33"/>
    <s v="13/01/2025"/>
    <x v="5"/>
    <x v="7"/>
    <x v="4"/>
    <x v="3"/>
    <x v="1"/>
    <x v="0"/>
    <n v="2196"/>
    <n v="1"/>
    <n v="3.9"/>
    <n v="4"/>
    <x v="10"/>
  </r>
  <r>
    <x v="34"/>
    <s v="24/02/2025"/>
    <x v="17"/>
    <x v="17"/>
    <x v="4"/>
    <x v="4"/>
    <x v="1"/>
    <x v="1"/>
    <n v="6790"/>
    <n v="7"/>
    <n v="4.2"/>
    <n v="2"/>
    <x v="7"/>
  </r>
  <r>
    <x v="35"/>
    <s v="08/10/2025"/>
    <x v="12"/>
    <x v="11"/>
    <x v="3"/>
    <x v="3"/>
    <x v="0"/>
    <x v="1"/>
    <n v="22584"/>
    <n v="8"/>
    <n v="4.7"/>
    <n v="5"/>
    <x v="1"/>
  </r>
  <r>
    <x v="36"/>
    <s v="27/05/2025"/>
    <x v="5"/>
    <x v="3"/>
    <x v="3"/>
    <x v="1"/>
    <x v="0"/>
    <x v="0"/>
    <n v="20496"/>
    <n v="4"/>
    <n v="3.4"/>
    <n v="4"/>
    <x v="0"/>
  </r>
  <r>
    <x v="37"/>
    <s v="28/07/2025"/>
    <x v="6"/>
    <x v="15"/>
    <x v="0"/>
    <x v="1"/>
    <x v="2"/>
    <x v="3"/>
    <n v="8466"/>
    <n v="6"/>
    <n v="4.7"/>
    <n v="7"/>
    <x v="4"/>
  </r>
  <r>
    <x v="38"/>
    <s v="30/06/2025"/>
    <x v="13"/>
    <x v="3"/>
    <x v="3"/>
    <x v="2"/>
    <x v="1"/>
    <x v="3"/>
    <n v="25865"/>
    <n v="5"/>
    <n v="4.8"/>
    <n v="8"/>
    <x v="9"/>
  </r>
  <r>
    <x v="39"/>
    <s v="22/06/2025"/>
    <x v="6"/>
    <x v="15"/>
    <x v="0"/>
    <x v="5"/>
    <x v="2"/>
    <x v="2"/>
    <n v="12481"/>
    <n v="7"/>
    <n v="4.2"/>
    <n v="7"/>
    <x v="9"/>
  </r>
  <r>
    <x v="40"/>
    <s v="25/08/2025"/>
    <x v="5"/>
    <x v="18"/>
    <x v="3"/>
    <x v="2"/>
    <x v="1"/>
    <x v="1"/>
    <n v="10143"/>
    <n v="3"/>
    <n v="4"/>
    <n v="6"/>
    <x v="3"/>
  </r>
  <r>
    <x v="41"/>
    <s v="10/01/2025"/>
    <x v="0"/>
    <x v="15"/>
    <x v="0"/>
    <x v="5"/>
    <x v="0"/>
    <x v="0"/>
    <n v="1016"/>
    <n v="1"/>
    <n v="4.9000000000000004"/>
    <n v="4"/>
    <x v="10"/>
  </r>
  <r>
    <x v="42"/>
    <s v="09/12/2025"/>
    <x v="1"/>
    <x v="5"/>
    <x v="4"/>
    <x v="2"/>
    <x v="2"/>
    <x v="2"/>
    <n v="2284"/>
    <n v="2"/>
    <n v="3.5"/>
    <n v="2"/>
    <x v="8"/>
  </r>
  <r>
    <x v="43"/>
    <s v="13/12/2025"/>
    <x v="4"/>
    <x v="19"/>
    <x v="2"/>
    <x v="0"/>
    <x v="2"/>
    <x v="1"/>
    <n v="87227"/>
    <n v="7"/>
    <n v="3.6"/>
    <n v="5"/>
    <x v="8"/>
  </r>
  <r>
    <x v="44"/>
    <s v="05/12/2025"/>
    <x v="16"/>
    <x v="8"/>
    <x v="1"/>
    <x v="2"/>
    <x v="1"/>
    <x v="0"/>
    <n v="46092"/>
    <n v="6"/>
    <n v="4.7"/>
    <n v="2"/>
    <x v="8"/>
  </r>
  <r>
    <x v="45"/>
    <s v="25/09/2025"/>
    <x v="18"/>
    <x v="18"/>
    <x v="3"/>
    <x v="4"/>
    <x v="2"/>
    <x v="1"/>
    <n v="22540"/>
    <n v="5"/>
    <n v="4.7"/>
    <n v="5"/>
    <x v="5"/>
  </r>
  <r>
    <x v="46"/>
    <s v="26/08/2025"/>
    <x v="11"/>
    <x v="18"/>
    <x v="3"/>
    <x v="2"/>
    <x v="3"/>
    <x v="1"/>
    <n v="23534"/>
    <n v="7"/>
    <n v="4.0999999999999996"/>
    <n v="6"/>
    <x v="3"/>
  </r>
  <r>
    <x v="47"/>
    <s v="22/09/2025"/>
    <x v="14"/>
    <x v="1"/>
    <x v="1"/>
    <x v="3"/>
    <x v="2"/>
    <x v="2"/>
    <n v="39584"/>
    <n v="4"/>
    <n v="4.5999999999999996"/>
    <n v="8"/>
    <x v="5"/>
  </r>
  <r>
    <x v="48"/>
    <s v="27/07/2025"/>
    <x v="15"/>
    <x v="2"/>
    <x v="2"/>
    <x v="1"/>
    <x v="1"/>
    <x v="1"/>
    <n v="258124"/>
    <n v="4"/>
    <n v="3.8"/>
    <n v="6"/>
    <x v="4"/>
  </r>
  <r>
    <x v="49"/>
    <s v="29/04/2025"/>
    <x v="19"/>
    <x v="16"/>
    <x v="2"/>
    <x v="4"/>
    <x v="1"/>
    <x v="1"/>
    <n v="87718"/>
    <n v="2"/>
    <n v="4.9000000000000004"/>
    <n v="3"/>
    <x v="2"/>
  </r>
  <r>
    <x v="50"/>
    <s v="21/02/2025"/>
    <x v="11"/>
    <x v="6"/>
    <x v="1"/>
    <x v="0"/>
    <x v="2"/>
    <x v="1"/>
    <n v="23008"/>
    <n v="4"/>
    <n v="3.2"/>
    <n v="3"/>
    <x v="7"/>
  </r>
  <r>
    <x v="51"/>
    <s v="22/02/2025"/>
    <x v="11"/>
    <x v="5"/>
    <x v="4"/>
    <x v="3"/>
    <x v="2"/>
    <x v="2"/>
    <n v="1414"/>
    <n v="1"/>
    <n v="3.8"/>
    <n v="1"/>
    <x v="7"/>
  </r>
  <r>
    <x v="52"/>
    <s v="07/02/2025"/>
    <x v="10"/>
    <x v="11"/>
    <x v="3"/>
    <x v="3"/>
    <x v="0"/>
    <x v="3"/>
    <n v="3189"/>
    <n v="1"/>
    <n v="5"/>
    <n v="2"/>
    <x v="7"/>
  </r>
  <r>
    <x v="53"/>
    <s v="02/06/2025"/>
    <x v="9"/>
    <x v="11"/>
    <x v="3"/>
    <x v="4"/>
    <x v="0"/>
    <x v="0"/>
    <n v="10584"/>
    <n v="7"/>
    <n v="4.3"/>
    <n v="5"/>
    <x v="9"/>
  </r>
  <r>
    <x v="54"/>
    <s v="22/03/2025"/>
    <x v="3"/>
    <x v="1"/>
    <x v="1"/>
    <x v="1"/>
    <x v="1"/>
    <x v="2"/>
    <n v="5571"/>
    <n v="1"/>
    <n v="3.3"/>
    <n v="5"/>
    <x v="6"/>
  </r>
  <r>
    <x v="55"/>
    <s v="17/11/2025"/>
    <x v="8"/>
    <x v="13"/>
    <x v="4"/>
    <x v="0"/>
    <x v="2"/>
    <x v="0"/>
    <n v="2880"/>
    <n v="4"/>
    <n v="3.5"/>
    <n v="5"/>
    <x v="11"/>
  </r>
  <r>
    <x v="56"/>
    <s v="19/10/2025"/>
    <x v="17"/>
    <x v="19"/>
    <x v="2"/>
    <x v="0"/>
    <x v="2"/>
    <x v="3"/>
    <n v="319665"/>
    <n v="5"/>
    <n v="4.9000000000000004"/>
    <n v="8"/>
    <x v="1"/>
  </r>
  <r>
    <x v="57"/>
    <s v="09/05/2025"/>
    <x v="6"/>
    <x v="19"/>
    <x v="2"/>
    <x v="0"/>
    <x v="0"/>
    <x v="3"/>
    <n v="77892"/>
    <n v="1"/>
    <n v="5"/>
    <n v="5"/>
    <x v="0"/>
  </r>
  <r>
    <x v="58"/>
    <s v="23/05/2025"/>
    <x v="18"/>
    <x v="8"/>
    <x v="1"/>
    <x v="1"/>
    <x v="2"/>
    <x v="0"/>
    <n v="25500"/>
    <n v="3"/>
    <n v="3.8"/>
    <n v="6"/>
    <x v="0"/>
  </r>
  <r>
    <x v="59"/>
    <s v="22/12/2025"/>
    <x v="18"/>
    <x v="12"/>
    <x v="2"/>
    <x v="0"/>
    <x v="1"/>
    <x v="2"/>
    <n v="596816"/>
    <n v="8"/>
    <n v="3.4"/>
    <n v="5"/>
    <x v="8"/>
  </r>
  <r>
    <x v="60"/>
    <s v="31/07/2025"/>
    <x v="19"/>
    <x v="8"/>
    <x v="1"/>
    <x v="2"/>
    <x v="0"/>
    <x v="1"/>
    <n v="8967"/>
    <n v="1"/>
    <n v="4.3"/>
    <n v="1"/>
    <x v="4"/>
  </r>
  <r>
    <x v="61"/>
    <s v="04/03/2025"/>
    <x v="9"/>
    <x v="11"/>
    <x v="3"/>
    <x v="4"/>
    <x v="2"/>
    <x v="3"/>
    <n v="3245"/>
    <n v="1"/>
    <n v="3.2"/>
    <n v="7"/>
    <x v="6"/>
  </r>
  <r>
    <x v="62"/>
    <s v="13/09/2025"/>
    <x v="5"/>
    <x v="10"/>
    <x v="0"/>
    <x v="4"/>
    <x v="0"/>
    <x v="2"/>
    <n v="6710"/>
    <n v="5"/>
    <n v="3.6"/>
    <n v="3"/>
    <x v="5"/>
  </r>
  <r>
    <x v="63"/>
    <s v="24/06/2025"/>
    <x v="8"/>
    <x v="12"/>
    <x v="2"/>
    <x v="3"/>
    <x v="1"/>
    <x v="1"/>
    <n v="208160"/>
    <n v="5"/>
    <n v="5"/>
    <n v="8"/>
    <x v="9"/>
  </r>
  <r>
    <x v="64"/>
    <s v="06/10/2025"/>
    <x v="2"/>
    <x v="19"/>
    <x v="2"/>
    <x v="2"/>
    <x v="1"/>
    <x v="3"/>
    <n v="190589"/>
    <n v="7"/>
    <n v="3.9"/>
    <n v="7"/>
    <x v="1"/>
  </r>
  <r>
    <x v="65"/>
    <s v="11/09/2025"/>
    <x v="7"/>
    <x v="18"/>
    <x v="3"/>
    <x v="5"/>
    <x v="1"/>
    <x v="2"/>
    <n v="3419"/>
    <n v="1"/>
    <n v="4.8"/>
    <n v="8"/>
    <x v="5"/>
  </r>
  <r>
    <x v="66"/>
    <s v="02/12/2025"/>
    <x v="18"/>
    <x v="5"/>
    <x v="4"/>
    <x v="1"/>
    <x v="1"/>
    <x v="1"/>
    <n v="6519"/>
    <n v="3"/>
    <n v="4.4000000000000004"/>
    <n v="2"/>
    <x v="8"/>
  </r>
  <r>
    <x v="67"/>
    <s v="13/11/2025"/>
    <x v="17"/>
    <x v="3"/>
    <x v="3"/>
    <x v="4"/>
    <x v="3"/>
    <x v="2"/>
    <n v="2880"/>
    <n v="2"/>
    <n v="5"/>
    <n v="2"/>
    <x v="11"/>
  </r>
  <r>
    <x v="68"/>
    <s v="29/01/2025"/>
    <x v="1"/>
    <x v="20"/>
    <x v="0"/>
    <x v="4"/>
    <x v="2"/>
    <x v="3"/>
    <n v="5170"/>
    <n v="5"/>
    <n v="4.2"/>
    <n v="3"/>
    <x v="10"/>
  </r>
  <r>
    <x v="69"/>
    <s v="12/09/2025"/>
    <x v="3"/>
    <x v="9"/>
    <x v="1"/>
    <x v="1"/>
    <x v="0"/>
    <x v="2"/>
    <n v="14949"/>
    <n v="3"/>
    <n v="4.4000000000000004"/>
    <n v="8"/>
    <x v="5"/>
  </r>
  <r>
    <x v="70"/>
    <s v="28/10/2025"/>
    <x v="14"/>
    <x v="4"/>
    <x v="3"/>
    <x v="0"/>
    <x v="0"/>
    <x v="3"/>
    <n v="22210"/>
    <n v="5"/>
    <n v="3.6"/>
    <n v="7"/>
    <x v="1"/>
  </r>
  <r>
    <x v="71"/>
    <s v="22/10/2025"/>
    <x v="4"/>
    <x v="6"/>
    <x v="1"/>
    <x v="1"/>
    <x v="1"/>
    <x v="1"/>
    <n v="26485"/>
    <n v="5"/>
    <n v="3.2"/>
    <n v="1"/>
    <x v="1"/>
  </r>
  <r>
    <x v="72"/>
    <s v="23/04/2025"/>
    <x v="3"/>
    <x v="13"/>
    <x v="4"/>
    <x v="3"/>
    <x v="2"/>
    <x v="1"/>
    <n v="5104"/>
    <n v="4"/>
    <n v="4.8"/>
    <n v="1"/>
    <x v="2"/>
  </r>
  <r>
    <x v="73"/>
    <s v="01/06/2025"/>
    <x v="12"/>
    <x v="17"/>
    <x v="4"/>
    <x v="5"/>
    <x v="3"/>
    <x v="0"/>
    <n v="5814"/>
    <n v="6"/>
    <n v="4.8"/>
    <n v="6"/>
    <x v="9"/>
  </r>
  <r>
    <x v="74"/>
    <s v="01/06/2025"/>
    <x v="10"/>
    <x v="12"/>
    <x v="2"/>
    <x v="2"/>
    <x v="2"/>
    <x v="3"/>
    <n v="74214"/>
    <n v="6"/>
    <n v="4.7"/>
    <n v="7"/>
    <x v="9"/>
  </r>
  <r>
    <x v="75"/>
    <s v="02/10/2025"/>
    <x v="7"/>
    <x v="20"/>
    <x v="0"/>
    <x v="1"/>
    <x v="0"/>
    <x v="3"/>
    <n v="2462"/>
    <n v="2"/>
    <n v="4.7"/>
    <n v="6"/>
    <x v="1"/>
  </r>
  <r>
    <x v="76"/>
    <s v="09/11/2025"/>
    <x v="2"/>
    <x v="20"/>
    <x v="0"/>
    <x v="0"/>
    <x v="3"/>
    <x v="3"/>
    <n v="6504"/>
    <n v="4"/>
    <n v="3.9"/>
    <n v="3"/>
    <x v="11"/>
  </r>
  <r>
    <x v="77"/>
    <s v="01/05/2025"/>
    <x v="16"/>
    <x v="0"/>
    <x v="0"/>
    <x v="1"/>
    <x v="2"/>
    <x v="3"/>
    <n v="3285"/>
    <n v="3"/>
    <n v="4.3"/>
    <n v="3"/>
    <x v="0"/>
  </r>
  <r>
    <x v="78"/>
    <s v="24/05/2025"/>
    <x v="7"/>
    <x v="8"/>
    <x v="1"/>
    <x v="1"/>
    <x v="3"/>
    <x v="1"/>
    <n v="8085"/>
    <n v="1"/>
    <n v="4.9000000000000004"/>
    <n v="6"/>
    <x v="0"/>
  </r>
  <r>
    <x v="79"/>
    <s v="22/05/2025"/>
    <x v="2"/>
    <x v="15"/>
    <x v="0"/>
    <x v="2"/>
    <x v="0"/>
    <x v="0"/>
    <n v="2200"/>
    <n v="4"/>
    <n v="4.4000000000000004"/>
    <n v="1"/>
    <x v="0"/>
  </r>
  <r>
    <x v="80"/>
    <s v="05/02/2025"/>
    <x v="11"/>
    <x v="9"/>
    <x v="1"/>
    <x v="4"/>
    <x v="0"/>
    <x v="1"/>
    <n v="12868"/>
    <n v="4"/>
    <n v="4.5999999999999996"/>
    <n v="1"/>
    <x v="7"/>
  </r>
  <r>
    <x v="81"/>
    <s v="05/12/2025"/>
    <x v="11"/>
    <x v="17"/>
    <x v="4"/>
    <x v="0"/>
    <x v="0"/>
    <x v="3"/>
    <n v="310"/>
    <n v="1"/>
    <n v="3.8"/>
    <n v="3"/>
    <x v="8"/>
  </r>
  <r>
    <x v="82"/>
    <s v="02/02/2025"/>
    <x v="4"/>
    <x v="1"/>
    <x v="1"/>
    <x v="0"/>
    <x v="3"/>
    <x v="3"/>
    <n v="20688"/>
    <n v="8"/>
    <n v="4"/>
    <n v="4"/>
    <x v="7"/>
  </r>
  <r>
    <x v="83"/>
    <s v="03/09/2025"/>
    <x v="4"/>
    <x v="0"/>
    <x v="0"/>
    <x v="4"/>
    <x v="2"/>
    <x v="0"/>
    <n v="8211"/>
    <n v="7"/>
    <n v="4.8"/>
    <n v="6"/>
    <x v="5"/>
  </r>
  <r>
    <x v="84"/>
    <s v="21/11/2025"/>
    <x v="7"/>
    <x v="19"/>
    <x v="2"/>
    <x v="1"/>
    <x v="0"/>
    <x v="3"/>
    <n v="246912"/>
    <n v="6"/>
    <n v="4.3"/>
    <n v="2"/>
    <x v="11"/>
  </r>
  <r>
    <x v="85"/>
    <s v="31/07/2025"/>
    <x v="15"/>
    <x v="18"/>
    <x v="3"/>
    <x v="4"/>
    <x v="1"/>
    <x v="2"/>
    <n v="8868"/>
    <n v="6"/>
    <n v="4"/>
    <n v="5"/>
    <x v="4"/>
  </r>
  <r>
    <x v="86"/>
    <s v="17/02/2025"/>
    <x v="7"/>
    <x v="0"/>
    <x v="0"/>
    <x v="3"/>
    <x v="3"/>
    <x v="3"/>
    <n v="3479"/>
    <n v="7"/>
    <n v="4.3"/>
    <n v="6"/>
    <x v="7"/>
  </r>
  <r>
    <x v="87"/>
    <s v="04/11/2025"/>
    <x v="13"/>
    <x v="20"/>
    <x v="0"/>
    <x v="0"/>
    <x v="3"/>
    <x v="1"/>
    <n v="5100"/>
    <n v="5"/>
    <n v="3.5"/>
    <n v="8"/>
    <x v="11"/>
  </r>
  <r>
    <x v="88"/>
    <s v="21/10/2025"/>
    <x v="18"/>
    <x v="20"/>
    <x v="0"/>
    <x v="2"/>
    <x v="2"/>
    <x v="0"/>
    <n v="4712"/>
    <n v="4"/>
    <n v="3.5"/>
    <n v="5"/>
    <x v="1"/>
  </r>
  <r>
    <x v="89"/>
    <s v="05/02/2025"/>
    <x v="18"/>
    <x v="5"/>
    <x v="4"/>
    <x v="4"/>
    <x v="3"/>
    <x v="1"/>
    <n v="1125"/>
    <n v="3"/>
    <n v="3.9"/>
    <n v="8"/>
    <x v="7"/>
  </r>
  <r>
    <x v="90"/>
    <s v="02/11/2025"/>
    <x v="17"/>
    <x v="19"/>
    <x v="2"/>
    <x v="1"/>
    <x v="1"/>
    <x v="3"/>
    <n v="46264"/>
    <n v="2"/>
    <n v="4.4000000000000004"/>
    <n v="5"/>
    <x v="11"/>
  </r>
  <r>
    <x v="91"/>
    <s v="01/08/2025"/>
    <x v="12"/>
    <x v="8"/>
    <x v="1"/>
    <x v="1"/>
    <x v="3"/>
    <x v="2"/>
    <n v="39215"/>
    <n v="5"/>
    <n v="3.4"/>
    <n v="8"/>
    <x v="3"/>
  </r>
  <r>
    <x v="92"/>
    <s v="03/11/2025"/>
    <x v="18"/>
    <x v="5"/>
    <x v="4"/>
    <x v="0"/>
    <x v="2"/>
    <x v="3"/>
    <n v="1087"/>
    <n v="1"/>
    <n v="4.5999999999999996"/>
    <n v="5"/>
    <x v="11"/>
  </r>
  <r>
    <x v="93"/>
    <s v="08/03/2025"/>
    <x v="5"/>
    <x v="18"/>
    <x v="3"/>
    <x v="1"/>
    <x v="2"/>
    <x v="3"/>
    <n v="36939"/>
    <n v="7"/>
    <n v="4.7"/>
    <n v="2"/>
    <x v="6"/>
  </r>
  <r>
    <x v="94"/>
    <s v="09/02/2025"/>
    <x v="5"/>
    <x v="15"/>
    <x v="0"/>
    <x v="0"/>
    <x v="3"/>
    <x v="0"/>
    <n v="8874"/>
    <n v="6"/>
    <n v="4"/>
    <n v="2"/>
    <x v="7"/>
  </r>
  <r>
    <x v="95"/>
    <s v="20/12/2025"/>
    <x v="5"/>
    <x v="8"/>
    <x v="1"/>
    <x v="2"/>
    <x v="3"/>
    <x v="0"/>
    <n v="47628"/>
    <n v="6"/>
    <n v="4.3"/>
    <n v="2"/>
    <x v="8"/>
  </r>
  <r>
    <x v="96"/>
    <s v="09/02/2025"/>
    <x v="13"/>
    <x v="2"/>
    <x v="2"/>
    <x v="0"/>
    <x v="0"/>
    <x v="1"/>
    <n v="55830"/>
    <n v="2"/>
    <n v="4.5"/>
    <n v="3"/>
    <x v="7"/>
  </r>
  <r>
    <x v="97"/>
    <s v="05/11/2025"/>
    <x v="6"/>
    <x v="7"/>
    <x v="4"/>
    <x v="1"/>
    <x v="3"/>
    <x v="1"/>
    <n v="1674"/>
    <n v="3"/>
    <n v="4"/>
    <n v="8"/>
    <x v="11"/>
  </r>
  <r>
    <x v="98"/>
    <s v="04/02/2025"/>
    <x v="3"/>
    <x v="5"/>
    <x v="4"/>
    <x v="3"/>
    <x v="1"/>
    <x v="2"/>
    <n v="11920"/>
    <n v="8"/>
    <n v="3.8"/>
    <n v="2"/>
    <x v="7"/>
  </r>
  <r>
    <x v="99"/>
    <s v="27/05/2025"/>
    <x v="17"/>
    <x v="20"/>
    <x v="0"/>
    <x v="5"/>
    <x v="0"/>
    <x v="1"/>
    <n v="3240"/>
    <n v="2"/>
    <n v="3.9"/>
    <n v="1"/>
    <x v="0"/>
  </r>
  <r>
    <x v="100"/>
    <s v="14/09/2025"/>
    <x v="2"/>
    <x v="8"/>
    <x v="1"/>
    <x v="4"/>
    <x v="1"/>
    <x v="3"/>
    <n v="6543"/>
    <n v="3"/>
    <n v="4.0999999999999996"/>
    <n v="3"/>
    <x v="5"/>
  </r>
  <r>
    <x v="101"/>
    <s v="06/07/2025"/>
    <x v="9"/>
    <x v="9"/>
    <x v="1"/>
    <x v="2"/>
    <x v="2"/>
    <x v="3"/>
    <n v="71538"/>
    <n v="6"/>
    <n v="4.3"/>
    <n v="6"/>
    <x v="4"/>
  </r>
  <r>
    <x v="102"/>
    <s v="03/12/2025"/>
    <x v="8"/>
    <x v="16"/>
    <x v="2"/>
    <x v="5"/>
    <x v="2"/>
    <x v="1"/>
    <n v="236640"/>
    <n v="3"/>
    <n v="3.8"/>
    <n v="7"/>
    <x v="8"/>
  </r>
  <r>
    <x v="103"/>
    <s v="26/11/2025"/>
    <x v="0"/>
    <x v="8"/>
    <x v="1"/>
    <x v="2"/>
    <x v="3"/>
    <x v="0"/>
    <n v="70704"/>
    <n v="6"/>
    <n v="4"/>
    <n v="6"/>
    <x v="11"/>
  </r>
  <r>
    <x v="104"/>
    <s v="06/09/2025"/>
    <x v="12"/>
    <x v="13"/>
    <x v="4"/>
    <x v="5"/>
    <x v="2"/>
    <x v="1"/>
    <n v="3252"/>
    <n v="4"/>
    <n v="4.7"/>
    <n v="2"/>
    <x v="5"/>
  </r>
  <r>
    <x v="105"/>
    <s v="02/11/2025"/>
    <x v="16"/>
    <x v="9"/>
    <x v="1"/>
    <x v="2"/>
    <x v="0"/>
    <x v="3"/>
    <n v="24584"/>
    <n v="7"/>
    <n v="4.5"/>
    <n v="1"/>
    <x v="11"/>
  </r>
  <r>
    <x v="106"/>
    <s v="18/08/2025"/>
    <x v="17"/>
    <x v="6"/>
    <x v="1"/>
    <x v="2"/>
    <x v="1"/>
    <x v="3"/>
    <n v="15912"/>
    <n v="4"/>
    <n v="3.9"/>
    <n v="8"/>
    <x v="3"/>
  </r>
  <r>
    <x v="107"/>
    <s v="06/11/2025"/>
    <x v="3"/>
    <x v="7"/>
    <x v="4"/>
    <x v="0"/>
    <x v="0"/>
    <x v="1"/>
    <n v="1389"/>
    <n v="3"/>
    <n v="4.9000000000000004"/>
    <n v="2"/>
    <x v="11"/>
  </r>
  <r>
    <x v="108"/>
    <s v="12/08/2025"/>
    <x v="13"/>
    <x v="18"/>
    <x v="3"/>
    <x v="3"/>
    <x v="2"/>
    <x v="1"/>
    <n v="1836"/>
    <n v="2"/>
    <n v="3.3"/>
    <n v="6"/>
    <x v="3"/>
  </r>
  <r>
    <x v="109"/>
    <s v="13/06/2025"/>
    <x v="8"/>
    <x v="17"/>
    <x v="4"/>
    <x v="1"/>
    <x v="1"/>
    <x v="3"/>
    <n v="3246"/>
    <n v="2"/>
    <n v="3.7"/>
    <n v="8"/>
    <x v="9"/>
  </r>
  <r>
    <x v="110"/>
    <s v="10/02/2025"/>
    <x v="3"/>
    <x v="1"/>
    <x v="1"/>
    <x v="4"/>
    <x v="3"/>
    <x v="2"/>
    <n v="10775"/>
    <n v="1"/>
    <n v="4.0999999999999996"/>
    <n v="2"/>
    <x v="7"/>
  </r>
  <r>
    <x v="111"/>
    <s v="03/08/2025"/>
    <x v="8"/>
    <x v="10"/>
    <x v="0"/>
    <x v="2"/>
    <x v="1"/>
    <x v="2"/>
    <n v="3424"/>
    <n v="8"/>
    <n v="3.2"/>
    <n v="4"/>
    <x v="3"/>
  </r>
  <r>
    <x v="112"/>
    <s v="04/05/2025"/>
    <x v="5"/>
    <x v="6"/>
    <x v="1"/>
    <x v="3"/>
    <x v="2"/>
    <x v="3"/>
    <n v="13356"/>
    <n v="7"/>
    <n v="4.9000000000000004"/>
    <n v="1"/>
    <x v="0"/>
  </r>
  <r>
    <x v="113"/>
    <s v="09/01/2025"/>
    <x v="8"/>
    <x v="16"/>
    <x v="2"/>
    <x v="0"/>
    <x v="3"/>
    <x v="1"/>
    <n v="204624"/>
    <n v="6"/>
    <n v="4.5999999999999996"/>
    <n v="6"/>
    <x v="10"/>
  </r>
  <r>
    <x v="114"/>
    <s v="23/12/2025"/>
    <x v="2"/>
    <x v="5"/>
    <x v="4"/>
    <x v="4"/>
    <x v="2"/>
    <x v="1"/>
    <n v="7968"/>
    <n v="8"/>
    <n v="3.3"/>
    <n v="4"/>
    <x v="8"/>
  </r>
  <r>
    <x v="115"/>
    <s v="23/07/2025"/>
    <x v="18"/>
    <x v="19"/>
    <x v="2"/>
    <x v="2"/>
    <x v="2"/>
    <x v="1"/>
    <n v="220384"/>
    <n v="8"/>
    <n v="4.8"/>
    <n v="1"/>
    <x v="4"/>
  </r>
  <r>
    <x v="116"/>
    <s v="14/08/2025"/>
    <x v="9"/>
    <x v="11"/>
    <x v="3"/>
    <x v="1"/>
    <x v="1"/>
    <x v="2"/>
    <n v="33425"/>
    <n v="7"/>
    <n v="4.9000000000000004"/>
    <n v="5"/>
    <x v="3"/>
  </r>
  <r>
    <x v="117"/>
    <s v="07/10/2025"/>
    <x v="4"/>
    <x v="18"/>
    <x v="3"/>
    <x v="1"/>
    <x v="1"/>
    <x v="0"/>
    <n v="16930"/>
    <n v="5"/>
    <n v="3.7"/>
    <n v="8"/>
    <x v="1"/>
  </r>
  <r>
    <x v="118"/>
    <s v="17/08/2025"/>
    <x v="9"/>
    <x v="4"/>
    <x v="3"/>
    <x v="1"/>
    <x v="1"/>
    <x v="1"/>
    <n v="4263"/>
    <n v="1"/>
    <n v="4.4000000000000004"/>
    <n v="1"/>
    <x v="3"/>
  </r>
  <r>
    <x v="119"/>
    <s v="16/01/2025"/>
    <x v="15"/>
    <x v="9"/>
    <x v="1"/>
    <x v="3"/>
    <x v="2"/>
    <x v="0"/>
    <n v="5703"/>
    <n v="3"/>
    <n v="3.6"/>
    <n v="6"/>
    <x v="10"/>
  </r>
  <r>
    <x v="120"/>
    <s v="10/07/2025"/>
    <x v="13"/>
    <x v="4"/>
    <x v="3"/>
    <x v="0"/>
    <x v="2"/>
    <x v="0"/>
    <n v="29648"/>
    <n v="8"/>
    <n v="3.8"/>
    <n v="5"/>
    <x v="4"/>
  </r>
  <r>
    <x v="121"/>
    <s v="15/10/2025"/>
    <x v="19"/>
    <x v="11"/>
    <x v="3"/>
    <x v="0"/>
    <x v="0"/>
    <x v="2"/>
    <n v="4914"/>
    <n v="2"/>
    <n v="3.7"/>
    <n v="8"/>
    <x v="1"/>
  </r>
  <r>
    <x v="122"/>
    <s v="16/08/2025"/>
    <x v="1"/>
    <x v="18"/>
    <x v="3"/>
    <x v="1"/>
    <x v="0"/>
    <x v="1"/>
    <n v="2462"/>
    <n v="2"/>
    <n v="4.2"/>
    <n v="5"/>
    <x v="3"/>
  </r>
  <r>
    <x v="123"/>
    <s v="04/03/2025"/>
    <x v="17"/>
    <x v="9"/>
    <x v="1"/>
    <x v="5"/>
    <x v="0"/>
    <x v="2"/>
    <n v="26848"/>
    <n v="4"/>
    <n v="4.2"/>
    <n v="6"/>
    <x v="6"/>
  </r>
  <r>
    <x v="124"/>
    <s v="23/07/2025"/>
    <x v="9"/>
    <x v="20"/>
    <x v="0"/>
    <x v="3"/>
    <x v="1"/>
    <x v="1"/>
    <n v="11008"/>
    <n v="8"/>
    <n v="3.4"/>
    <n v="6"/>
    <x v="4"/>
  </r>
  <r>
    <x v="125"/>
    <s v="08/03/2025"/>
    <x v="18"/>
    <x v="7"/>
    <x v="4"/>
    <x v="1"/>
    <x v="0"/>
    <x v="1"/>
    <n v="3332"/>
    <n v="7"/>
    <n v="3.7"/>
    <n v="3"/>
    <x v="6"/>
  </r>
  <r>
    <x v="126"/>
    <s v="10/02/2025"/>
    <x v="12"/>
    <x v="6"/>
    <x v="1"/>
    <x v="1"/>
    <x v="0"/>
    <x v="0"/>
    <n v="28805"/>
    <n v="5"/>
    <n v="4.3"/>
    <n v="2"/>
    <x v="7"/>
  </r>
  <r>
    <x v="127"/>
    <s v="16/10/2025"/>
    <x v="6"/>
    <x v="13"/>
    <x v="4"/>
    <x v="3"/>
    <x v="2"/>
    <x v="3"/>
    <n v="582"/>
    <n v="1"/>
    <n v="3.7"/>
    <n v="4"/>
    <x v="1"/>
  </r>
  <r>
    <x v="128"/>
    <s v="25/11/2025"/>
    <x v="1"/>
    <x v="6"/>
    <x v="1"/>
    <x v="3"/>
    <x v="1"/>
    <x v="3"/>
    <n v="41150"/>
    <n v="5"/>
    <n v="3.3"/>
    <n v="1"/>
    <x v="11"/>
  </r>
  <r>
    <x v="129"/>
    <s v="24/06/2025"/>
    <x v="18"/>
    <x v="18"/>
    <x v="3"/>
    <x v="4"/>
    <x v="1"/>
    <x v="2"/>
    <n v="11898"/>
    <n v="3"/>
    <n v="4.5999999999999996"/>
    <n v="2"/>
    <x v="9"/>
  </r>
  <r>
    <x v="130"/>
    <s v="07/05/2025"/>
    <x v="18"/>
    <x v="12"/>
    <x v="2"/>
    <x v="5"/>
    <x v="3"/>
    <x v="0"/>
    <n v="121614"/>
    <n v="3"/>
    <n v="4"/>
    <n v="3"/>
    <x v="0"/>
  </r>
  <r>
    <x v="131"/>
    <s v="21/09/2025"/>
    <x v="13"/>
    <x v="5"/>
    <x v="4"/>
    <x v="4"/>
    <x v="3"/>
    <x v="2"/>
    <n v="12104"/>
    <n v="8"/>
    <n v="4.9000000000000004"/>
    <n v="8"/>
    <x v="5"/>
  </r>
  <r>
    <x v="132"/>
    <s v="11/09/2025"/>
    <x v="15"/>
    <x v="20"/>
    <x v="0"/>
    <x v="3"/>
    <x v="3"/>
    <x v="2"/>
    <n v="7080"/>
    <n v="8"/>
    <n v="3.4"/>
    <n v="5"/>
    <x v="5"/>
  </r>
  <r>
    <x v="133"/>
    <s v="19/10/2025"/>
    <x v="4"/>
    <x v="3"/>
    <x v="3"/>
    <x v="1"/>
    <x v="2"/>
    <x v="0"/>
    <n v="15456"/>
    <n v="4"/>
    <n v="4"/>
    <n v="5"/>
    <x v="1"/>
  </r>
  <r>
    <x v="134"/>
    <s v="11/07/2025"/>
    <x v="2"/>
    <x v="15"/>
    <x v="0"/>
    <x v="0"/>
    <x v="0"/>
    <x v="1"/>
    <n v="8652"/>
    <n v="6"/>
    <n v="4.0999999999999996"/>
    <n v="1"/>
    <x v="4"/>
  </r>
  <r>
    <x v="135"/>
    <s v="18/03/2025"/>
    <x v="6"/>
    <x v="11"/>
    <x v="3"/>
    <x v="2"/>
    <x v="1"/>
    <x v="1"/>
    <n v="11757"/>
    <n v="3"/>
    <n v="4.5"/>
    <n v="5"/>
    <x v="6"/>
  </r>
  <r>
    <x v="136"/>
    <s v="08/07/2025"/>
    <x v="4"/>
    <x v="3"/>
    <x v="3"/>
    <x v="3"/>
    <x v="3"/>
    <x v="0"/>
    <n v="32886"/>
    <n v="6"/>
    <n v="4.5999999999999996"/>
    <n v="1"/>
    <x v="4"/>
  </r>
  <r>
    <x v="137"/>
    <s v="29/03/2025"/>
    <x v="18"/>
    <x v="15"/>
    <x v="0"/>
    <x v="3"/>
    <x v="0"/>
    <x v="3"/>
    <n v="4214"/>
    <n v="7"/>
    <n v="3.5"/>
    <n v="8"/>
    <x v="6"/>
  </r>
  <r>
    <x v="138"/>
    <s v="14/09/2025"/>
    <x v="12"/>
    <x v="5"/>
    <x v="4"/>
    <x v="3"/>
    <x v="3"/>
    <x v="0"/>
    <n v="4040"/>
    <n v="8"/>
    <n v="4.2"/>
    <n v="8"/>
    <x v="5"/>
  </r>
  <r>
    <x v="139"/>
    <s v="07/10/2025"/>
    <x v="10"/>
    <x v="4"/>
    <x v="3"/>
    <x v="2"/>
    <x v="0"/>
    <x v="1"/>
    <n v="27996"/>
    <n v="6"/>
    <n v="4.9000000000000004"/>
    <n v="5"/>
    <x v="1"/>
  </r>
  <r>
    <x v="140"/>
    <s v="20/12/2025"/>
    <x v="5"/>
    <x v="2"/>
    <x v="2"/>
    <x v="2"/>
    <x v="0"/>
    <x v="1"/>
    <n v="385744"/>
    <n v="8"/>
    <n v="3.7"/>
    <n v="7"/>
    <x v="8"/>
  </r>
  <r>
    <x v="141"/>
    <s v="10/02/2025"/>
    <x v="10"/>
    <x v="20"/>
    <x v="0"/>
    <x v="1"/>
    <x v="3"/>
    <x v="0"/>
    <n v="7230"/>
    <n v="6"/>
    <n v="4.7"/>
    <n v="5"/>
    <x v="7"/>
  </r>
  <r>
    <x v="142"/>
    <s v="05/05/2025"/>
    <x v="18"/>
    <x v="10"/>
    <x v="0"/>
    <x v="1"/>
    <x v="1"/>
    <x v="2"/>
    <n v="1671"/>
    <n v="1"/>
    <n v="3.3"/>
    <n v="7"/>
    <x v="0"/>
  </r>
  <r>
    <x v="143"/>
    <s v="09/10/2025"/>
    <x v="9"/>
    <x v="17"/>
    <x v="4"/>
    <x v="1"/>
    <x v="0"/>
    <x v="2"/>
    <n v="6594"/>
    <n v="3"/>
    <n v="3.8"/>
    <n v="1"/>
    <x v="1"/>
  </r>
  <r>
    <x v="144"/>
    <s v="01/04/2025"/>
    <x v="18"/>
    <x v="5"/>
    <x v="4"/>
    <x v="2"/>
    <x v="1"/>
    <x v="3"/>
    <n v="2279"/>
    <n v="1"/>
    <n v="3.2"/>
    <n v="2"/>
    <x v="2"/>
  </r>
  <r>
    <x v="145"/>
    <s v="20/05/2025"/>
    <x v="0"/>
    <x v="5"/>
    <x v="4"/>
    <x v="1"/>
    <x v="3"/>
    <x v="1"/>
    <n v="6416"/>
    <n v="4"/>
    <n v="3.7"/>
    <n v="3"/>
    <x v="0"/>
  </r>
  <r>
    <x v="146"/>
    <s v="31/03/2025"/>
    <x v="8"/>
    <x v="9"/>
    <x v="1"/>
    <x v="3"/>
    <x v="3"/>
    <x v="0"/>
    <n v="51569"/>
    <n v="7"/>
    <n v="4.4000000000000004"/>
    <n v="3"/>
    <x v="6"/>
  </r>
  <r>
    <x v="147"/>
    <s v="16/07/2025"/>
    <x v="11"/>
    <x v="20"/>
    <x v="0"/>
    <x v="1"/>
    <x v="3"/>
    <x v="0"/>
    <n v="4856"/>
    <n v="4"/>
    <n v="4.5"/>
    <n v="1"/>
    <x v="4"/>
  </r>
  <r>
    <x v="148"/>
    <s v="27/08/2025"/>
    <x v="15"/>
    <x v="0"/>
    <x v="0"/>
    <x v="5"/>
    <x v="0"/>
    <x v="0"/>
    <n v="3135"/>
    <n v="5"/>
    <n v="4.3"/>
    <n v="5"/>
    <x v="3"/>
  </r>
  <r>
    <x v="149"/>
    <s v="20/03/2025"/>
    <x v="13"/>
    <x v="5"/>
    <x v="4"/>
    <x v="1"/>
    <x v="2"/>
    <x v="3"/>
    <n v="14240"/>
    <n v="8"/>
    <n v="4.5999999999999996"/>
    <n v="4"/>
    <x v="6"/>
  </r>
  <r>
    <x v="150"/>
    <s v="09/02/2025"/>
    <x v="18"/>
    <x v="6"/>
    <x v="1"/>
    <x v="5"/>
    <x v="1"/>
    <x v="2"/>
    <n v="20366"/>
    <n v="2"/>
    <n v="4.2"/>
    <n v="3"/>
    <x v="7"/>
  </r>
  <r>
    <x v="151"/>
    <s v="16/02/2025"/>
    <x v="10"/>
    <x v="5"/>
    <x v="4"/>
    <x v="3"/>
    <x v="3"/>
    <x v="2"/>
    <n v="16856"/>
    <n v="8"/>
    <n v="4"/>
    <n v="1"/>
    <x v="7"/>
  </r>
  <r>
    <x v="152"/>
    <s v="02/01/2025"/>
    <x v="9"/>
    <x v="4"/>
    <x v="3"/>
    <x v="3"/>
    <x v="2"/>
    <x v="1"/>
    <n v="16680"/>
    <n v="4"/>
    <n v="4.5"/>
    <n v="1"/>
    <x v="10"/>
  </r>
  <r>
    <x v="153"/>
    <s v="11/03/2025"/>
    <x v="15"/>
    <x v="18"/>
    <x v="3"/>
    <x v="0"/>
    <x v="0"/>
    <x v="3"/>
    <n v="26544"/>
    <n v="7"/>
    <n v="3.3"/>
    <n v="3"/>
    <x v="6"/>
  </r>
  <r>
    <x v="154"/>
    <s v="25/04/2025"/>
    <x v="13"/>
    <x v="9"/>
    <x v="1"/>
    <x v="3"/>
    <x v="3"/>
    <x v="0"/>
    <n v="7748"/>
    <n v="1"/>
    <n v="4.2"/>
    <n v="4"/>
    <x v="2"/>
  </r>
  <r>
    <x v="155"/>
    <s v="27/02/2025"/>
    <x v="4"/>
    <x v="2"/>
    <x v="2"/>
    <x v="0"/>
    <x v="1"/>
    <x v="2"/>
    <n v="83099"/>
    <n v="1"/>
    <n v="3.6"/>
    <n v="2"/>
    <x v="7"/>
  </r>
  <r>
    <x v="156"/>
    <s v="25/07/2025"/>
    <x v="13"/>
    <x v="17"/>
    <x v="4"/>
    <x v="1"/>
    <x v="3"/>
    <x v="1"/>
    <n v="19680"/>
    <n v="8"/>
    <n v="4.0999999999999996"/>
    <n v="5"/>
    <x v="4"/>
  </r>
  <r>
    <x v="157"/>
    <s v="15/03/2025"/>
    <x v="16"/>
    <x v="13"/>
    <x v="4"/>
    <x v="5"/>
    <x v="1"/>
    <x v="2"/>
    <n v="5920"/>
    <n v="4"/>
    <n v="4.9000000000000004"/>
    <n v="3"/>
    <x v="6"/>
  </r>
  <r>
    <x v="158"/>
    <s v="26/09/2025"/>
    <x v="13"/>
    <x v="12"/>
    <x v="2"/>
    <x v="4"/>
    <x v="3"/>
    <x v="0"/>
    <n v="336066"/>
    <n v="6"/>
    <n v="3.9"/>
    <n v="8"/>
    <x v="5"/>
  </r>
  <r>
    <x v="159"/>
    <s v="15/10/2025"/>
    <x v="9"/>
    <x v="3"/>
    <x v="3"/>
    <x v="3"/>
    <x v="3"/>
    <x v="2"/>
    <n v="27167"/>
    <n v="7"/>
    <n v="3.7"/>
    <n v="6"/>
    <x v="1"/>
  </r>
  <r>
    <x v="160"/>
    <s v="27/01/2025"/>
    <x v="14"/>
    <x v="9"/>
    <x v="1"/>
    <x v="4"/>
    <x v="3"/>
    <x v="1"/>
    <n v="52130"/>
    <n v="5"/>
    <n v="4.5"/>
    <n v="4"/>
    <x v="10"/>
  </r>
  <r>
    <x v="161"/>
    <s v="08/04/2025"/>
    <x v="3"/>
    <x v="10"/>
    <x v="0"/>
    <x v="3"/>
    <x v="1"/>
    <x v="1"/>
    <n v="2560"/>
    <n v="2"/>
    <n v="4.8"/>
    <n v="6"/>
    <x v="2"/>
  </r>
  <r>
    <x v="162"/>
    <s v="04/07/2025"/>
    <x v="2"/>
    <x v="16"/>
    <x v="2"/>
    <x v="5"/>
    <x v="0"/>
    <x v="0"/>
    <n v="512296"/>
    <n v="8"/>
    <n v="3.9"/>
    <n v="7"/>
    <x v="4"/>
  </r>
  <r>
    <x v="163"/>
    <s v="11/10/2025"/>
    <x v="14"/>
    <x v="20"/>
    <x v="0"/>
    <x v="5"/>
    <x v="3"/>
    <x v="1"/>
    <n v="6328"/>
    <n v="7"/>
    <n v="3.9"/>
    <n v="4"/>
    <x v="1"/>
  </r>
  <r>
    <x v="164"/>
    <s v="24/08/2025"/>
    <x v="12"/>
    <x v="11"/>
    <x v="3"/>
    <x v="0"/>
    <x v="2"/>
    <x v="2"/>
    <n v="5538"/>
    <n v="3"/>
    <n v="4.0999999999999996"/>
    <n v="1"/>
    <x v="3"/>
  </r>
  <r>
    <x v="165"/>
    <s v="12/03/2025"/>
    <x v="4"/>
    <x v="15"/>
    <x v="0"/>
    <x v="1"/>
    <x v="1"/>
    <x v="3"/>
    <n v="1756"/>
    <n v="4"/>
    <n v="4"/>
    <n v="1"/>
    <x v="6"/>
  </r>
  <r>
    <x v="166"/>
    <s v="30/09/2025"/>
    <x v="12"/>
    <x v="0"/>
    <x v="0"/>
    <x v="1"/>
    <x v="1"/>
    <x v="0"/>
    <n v="2268"/>
    <n v="7"/>
    <n v="5"/>
    <n v="1"/>
    <x v="5"/>
  </r>
  <r>
    <x v="167"/>
    <s v="26/09/2025"/>
    <x v="5"/>
    <x v="0"/>
    <x v="0"/>
    <x v="0"/>
    <x v="3"/>
    <x v="3"/>
    <n v="2379"/>
    <n v="3"/>
    <n v="4.7"/>
    <n v="5"/>
    <x v="5"/>
  </r>
  <r>
    <x v="168"/>
    <s v="23/12/2025"/>
    <x v="2"/>
    <x v="18"/>
    <x v="3"/>
    <x v="1"/>
    <x v="2"/>
    <x v="0"/>
    <n v="5860"/>
    <n v="4"/>
    <n v="3.9"/>
    <n v="8"/>
    <x v="8"/>
  </r>
  <r>
    <x v="169"/>
    <s v="11/08/2025"/>
    <x v="11"/>
    <x v="15"/>
    <x v="0"/>
    <x v="0"/>
    <x v="2"/>
    <x v="1"/>
    <n v="8748"/>
    <n v="6"/>
    <n v="3.6"/>
    <n v="8"/>
    <x v="3"/>
  </r>
  <r>
    <x v="170"/>
    <s v="02/04/2025"/>
    <x v="1"/>
    <x v="1"/>
    <x v="1"/>
    <x v="5"/>
    <x v="0"/>
    <x v="3"/>
    <n v="43950"/>
    <n v="6"/>
    <n v="4.9000000000000004"/>
    <n v="5"/>
    <x v="2"/>
  </r>
  <r>
    <x v="171"/>
    <s v="16/07/2025"/>
    <x v="9"/>
    <x v="6"/>
    <x v="1"/>
    <x v="2"/>
    <x v="1"/>
    <x v="1"/>
    <n v="5037"/>
    <n v="3"/>
    <n v="3.4"/>
    <n v="4"/>
    <x v="4"/>
  </r>
  <r>
    <x v="172"/>
    <s v="19/08/2025"/>
    <x v="9"/>
    <x v="20"/>
    <x v="0"/>
    <x v="5"/>
    <x v="3"/>
    <x v="0"/>
    <n v="6136"/>
    <n v="8"/>
    <n v="3.5"/>
    <n v="7"/>
    <x v="3"/>
  </r>
  <r>
    <x v="173"/>
    <s v="18/05/2025"/>
    <x v="3"/>
    <x v="0"/>
    <x v="0"/>
    <x v="3"/>
    <x v="3"/>
    <x v="1"/>
    <n v="3234"/>
    <n v="3"/>
    <n v="3.4"/>
    <n v="1"/>
    <x v="0"/>
  </r>
  <r>
    <x v="174"/>
    <s v="14/02/2025"/>
    <x v="9"/>
    <x v="10"/>
    <x v="0"/>
    <x v="2"/>
    <x v="2"/>
    <x v="1"/>
    <n v="3546"/>
    <n v="3"/>
    <n v="3.9"/>
    <n v="1"/>
    <x v="7"/>
  </r>
  <r>
    <x v="175"/>
    <s v="30/05/2025"/>
    <x v="1"/>
    <x v="3"/>
    <x v="3"/>
    <x v="4"/>
    <x v="3"/>
    <x v="1"/>
    <n v="18816"/>
    <n v="7"/>
    <n v="4.0999999999999996"/>
    <n v="7"/>
    <x v="0"/>
  </r>
  <r>
    <x v="176"/>
    <s v="16/03/2025"/>
    <x v="15"/>
    <x v="12"/>
    <x v="2"/>
    <x v="2"/>
    <x v="0"/>
    <x v="3"/>
    <n v="77340"/>
    <n v="2"/>
    <n v="4.0999999999999996"/>
    <n v="2"/>
    <x v="6"/>
  </r>
  <r>
    <x v="177"/>
    <s v="23/08/2025"/>
    <x v="18"/>
    <x v="9"/>
    <x v="1"/>
    <x v="3"/>
    <x v="3"/>
    <x v="3"/>
    <n v="12486"/>
    <n v="2"/>
    <n v="4.7"/>
    <n v="7"/>
    <x v="3"/>
  </r>
  <r>
    <x v="178"/>
    <s v="03/06/2025"/>
    <x v="3"/>
    <x v="9"/>
    <x v="1"/>
    <x v="1"/>
    <x v="1"/>
    <x v="0"/>
    <n v="22260"/>
    <n v="6"/>
    <n v="4.9000000000000004"/>
    <n v="6"/>
    <x v="9"/>
  </r>
  <r>
    <x v="179"/>
    <s v="24/05/2025"/>
    <x v="10"/>
    <x v="12"/>
    <x v="2"/>
    <x v="0"/>
    <x v="1"/>
    <x v="0"/>
    <n v="534835"/>
    <n v="7"/>
    <n v="5"/>
    <n v="3"/>
    <x v="0"/>
  </r>
  <r>
    <x v="180"/>
    <s v="21/12/2025"/>
    <x v="16"/>
    <x v="4"/>
    <x v="3"/>
    <x v="3"/>
    <x v="2"/>
    <x v="3"/>
    <n v="11776"/>
    <n v="2"/>
    <n v="3.6"/>
    <n v="3"/>
    <x v="8"/>
  </r>
  <r>
    <x v="181"/>
    <s v="26/10/2025"/>
    <x v="10"/>
    <x v="8"/>
    <x v="1"/>
    <x v="5"/>
    <x v="2"/>
    <x v="2"/>
    <n v="9814"/>
    <n v="7"/>
    <n v="4.5999999999999996"/>
    <n v="6"/>
    <x v="1"/>
  </r>
  <r>
    <x v="182"/>
    <s v="27/03/2025"/>
    <x v="13"/>
    <x v="13"/>
    <x v="4"/>
    <x v="5"/>
    <x v="0"/>
    <x v="3"/>
    <n v="1886"/>
    <n v="1"/>
    <n v="3.2"/>
    <n v="5"/>
    <x v="6"/>
  </r>
  <r>
    <x v="183"/>
    <s v="26/08/2025"/>
    <x v="7"/>
    <x v="12"/>
    <x v="2"/>
    <x v="1"/>
    <x v="0"/>
    <x v="1"/>
    <n v="197331"/>
    <n v="3"/>
    <n v="3.9"/>
    <n v="2"/>
    <x v="3"/>
  </r>
  <r>
    <x v="184"/>
    <s v="22/08/2025"/>
    <x v="18"/>
    <x v="16"/>
    <x v="2"/>
    <x v="0"/>
    <x v="3"/>
    <x v="2"/>
    <n v="192608"/>
    <n v="4"/>
    <n v="4"/>
    <n v="8"/>
    <x v="3"/>
  </r>
  <r>
    <x v="185"/>
    <s v="25/06/2025"/>
    <x v="10"/>
    <x v="0"/>
    <x v="0"/>
    <x v="3"/>
    <x v="1"/>
    <x v="0"/>
    <n v="3372"/>
    <n v="2"/>
    <n v="4.2"/>
    <n v="6"/>
    <x v="9"/>
  </r>
  <r>
    <x v="186"/>
    <s v="06/04/2025"/>
    <x v="0"/>
    <x v="18"/>
    <x v="3"/>
    <x v="1"/>
    <x v="0"/>
    <x v="0"/>
    <n v="16212"/>
    <n v="7"/>
    <n v="4.3"/>
    <n v="7"/>
    <x v="2"/>
  </r>
  <r>
    <x v="187"/>
    <s v="23/10/2025"/>
    <x v="14"/>
    <x v="14"/>
    <x v="2"/>
    <x v="5"/>
    <x v="3"/>
    <x v="3"/>
    <n v="100890"/>
    <n v="2"/>
    <n v="4"/>
    <n v="5"/>
    <x v="1"/>
  </r>
  <r>
    <x v="188"/>
    <s v="28/10/2025"/>
    <x v="4"/>
    <x v="8"/>
    <x v="1"/>
    <x v="5"/>
    <x v="2"/>
    <x v="0"/>
    <n v="7252"/>
    <n v="2"/>
    <n v="4.7"/>
    <n v="5"/>
    <x v="1"/>
  </r>
  <r>
    <x v="189"/>
    <s v="03/05/2025"/>
    <x v="6"/>
    <x v="14"/>
    <x v="2"/>
    <x v="3"/>
    <x v="1"/>
    <x v="0"/>
    <n v="257145"/>
    <n v="5"/>
    <n v="3.9"/>
    <n v="3"/>
    <x v="0"/>
  </r>
  <r>
    <x v="190"/>
    <s v="12/10/2025"/>
    <x v="15"/>
    <x v="18"/>
    <x v="3"/>
    <x v="0"/>
    <x v="1"/>
    <x v="0"/>
    <n v="6696"/>
    <n v="3"/>
    <n v="4.7"/>
    <n v="1"/>
    <x v="1"/>
  </r>
  <r>
    <x v="191"/>
    <s v="15/10/2025"/>
    <x v="13"/>
    <x v="5"/>
    <x v="4"/>
    <x v="2"/>
    <x v="2"/>
    <x v="1"/>
    <n v="18112"/>
    <n v="8"/>
    <n v="3.5"/>
    <n v="1"/>
    <x v="1"/>
  </r>
  <r>
    <x v="192"/>
    <s v="28/03/2025"/>
    <x v="10"/>
    <x v="13"/>
    <x v="4"/>
    <x v="2"/>
    <x v="2"/>
    <x v="3"/>
    <n v="18224"/>
    <n v="8"/>
    <n v="4.2"/>
    <n v="5"/>
    <x v="6"/>
  </r>
  <r>
    <x v="193"/>
    <s v="06/08/2025"/>
    <x v="17"/>
    <x v="9"/>
    <x v="1"/>
    <x v="0"/>
    <x v="0"/>
    <x v="0"/>
    <n v="16336"/>
    <n v="2"/>
    <n v="3.7"/>
    <n v="2"/>
    <x v="3"/>
  </r>
  <r>
    <x v="194"/>
    <s v="30/12/2025"/>
    <x v="4"/>
    <x v="6"/>
    <x v="1"/>
    <x v="5"/>
    <x v="0"/>
    <x v="1"/>
    <n v="12404"/>
    <n v="7"/>
    <n v="4.2"/>
    <n v="5"/>
    <x v="8"/>
  </r>
  <r>
    <x v="195"/>
    <s v="21/10/2025"/>
    <x v="8"/>
    <x v="16"/>
    <x v="2"/>
    <x v="4"/>
    <x v="0"/>
    <x v="1"/>
    <n v="101355"/>
    <n v="5"/>
    <n v="5"/>
    <n v="3"/>
    <x v="1"/>
  </r>
  <r>
    <x v="196"/>
    <s v="08/09/2025"/>
    <x v="5"/>
    <x v="5"/>
    <x v="4"/>
    <x v="5"/>
    <x v="3"/>
    <x v="1"/>
    <n v="4050"/>
    <n v="3"/>
    <n v="4"/>
    <n v="2"/>
    <x v="5"/>
  </r>
  <r>
    <x v="197"/>
    <s v="17/06/2025"/>
    <x v="10"/>
    <x v="11"/>
    <x v="3"/>
    <x v="3"/>
    <x v="0"/>
    <x v="3"/>
    <n v="5900"/>
    <n v="1"/>
    <n v="4.5"/>
    <n v="2"/>
    <x v="9"/>
  </r>
  <r>
    <x v="198"/>
    <s v="18/05/2025"/>
    <x v="18"/>
    <x v="5"/>
    <x v="4"/>
    <x v="1"/>
    <x v="2"/>
    <x v="2"/>
    <n v="9798"/>
    <n v="6"/>
    <n v="4.2"/>
    <n v="8"/>
    <x v="0"/>
  </r>
  <r>
    <x v="199"/>
    <s v="09/01/2025"/>
    <x v="3"/>
    <x v="15"/>
    <x v="0"/>
    <x v="4"/>
    <x v="3"/>
    <x v="2"/>
    <n v="1246"/>
    <n v="2"/>
    <n v="3.6"/>
    <n v="3"/>
    <x v="10"/>
  </r>
  <r>
    <x v="200"/>
    <s v="12/02/2025"/>
    <x v="16"/>
    <x v="16"/>
    <x v="2"/>
    <x v="1"/>
    <x v="2"/>
    <x v="2"/>
    <n v="55722"/>
    <n v="6"/>
    <n v="3.7"/>
    <n v="4"/>
    <x v="7"/>
  </r>
  <r>
    <x v="201"/>
    <s v="02/09/2025"/>
    <x v="7"/>
    <x v="10"/>
    <x v="0"/>
    <x v="3"/>
    <x v="0"/>
    <x v="3"/>
    <n v="1142"/>
    <n v="2"/>
    <n v="3.2"/>
    <n v="6"/>
    <x v="5"/>
  </r>
  <r>
    <x v="202"/>
    <s v="16/07/2025"/>
    <x v="5"/>
    <x v="10"/>
    <x v="0"/>
    <x v="4"/>
    <x v="0"/>
    <x v="2"/>
    <n v="3592"/>
    <n v="2"/>
    <n v="4.8"/>
    <n v="3"/>
    <x v="4"/>
  </r>
  <r>
    <x v="203"/>
    <s v="09/11/2025"/>
    <x v="19"/>
    <x v="1"/>
    <x v="1"/>
    <x v="0"/>
    <x v="2"/>
    <x v="0"/>
    <n v="9840"/>
    <n v="3"/>
    <n v="4.9000000000000004"/>
    <n v="8"/>
    <x v="11"/>
  </r>
  <r>
    <x v="204"/>
    <s v="29/06/2025"/>
    <x v="0"/>
    <x v="15"/>
    <x v="0"/>
    <x v="1"/>
    <x v="3"/>
    <x v="0"/>
    <n v="6608"/>
    <n v="7"/>
    <n v="3.4"/>
    <n v="5"/>
    <x v="9"/>
  </r>
  <r>
    <x v="205"/>
    <s v="20/07/2025"/>
    <x v="4"/>
    <x v="9"/>
    <x v="1"/>
    <x v="0"/>
    <x v="2"/>
    <x v="1"/>
    <n v="35610"/>
    <n v="5"/>
    <n v="3.4"/>
    <n v="8"/>
    <x v="4"/>
  </r>
  <r>
    <x v="206"/>
    <s v="18/07/2025"/>
    <x v="0"/>
    <x v="2"/>
    <x v="2"/>
    <x v="2"/>
    <x v="0"/>
    <x v="2"/>
    <n v="176015"/>
    <n v="7"/>
    <n v="3.2"/>
    <n v="2"/>
    <x v="4"/>
  </r>
  <r>
    <x v="207"/>
    <s v="17/09/2025"/>
    <x v="11"/>
    <x v="15"/>
    <x v="0"/>
    <x v="0"/>
    <x v="3"/>
    <x v="2"/>
    <n v="7935"/>
    <n v="5"/>
    <n v="3.3"/>
    <n v="3"/>
    <x v="5"/>
  </r>
  <r>
    <x v="208"/>
    <s v="21/03/2025"/>
    <x v="16"/>
    <x v="9"/>
    <x v="1"/>
    <x v="0"/>
    <x v="1"/>
    <x v="2"/>
    <n v="28254"/>
    <n v="6"/>
    <n v="3.3"/>
    <n v="2"/>
    <x v="6"/>
  </r>
  <r>
    <x v="209"/>
    <s v="03/03/2025"/>
    <x v="1"/>
    <x v="2"/>
    <x v="2"/>
    <x v="2"/>
    <x v="0"/>
    <x v="1"/>
    <n v="3987"/>
    <n v="1"/>
    <n v="4.9000000000000004"/>
    <n v="5"/>
    <x v="6"/>
  </r>
  <r>
    <x v="210"/>
    <s v="21/06/2025"/>
    <x v="17"/>
    <x v="0"/>
    <x v="0"/>
    <x v="5"/>
    <x v="3"/>
    <x v="2"/>
    <n v="5999"/>
    <n v="7"/>
    <n v="4.3"/>
    <n v="8"/>
    <x v="9"/>
  </r>
  <r>
    <x v="211"/>
    <s v="08/07/2025"/>
    <x v="2"/>
    <x v="18"/>
    <x v="3"/>
    <x v="0"/>
    <x v="0"/>
    <x v="2"/>
    <n v="4932"/>
    <n v="3"/>
    <n v="4.5"/>
    <n v="1"/>
    <x v="4"/>
  </r>
  <r>
    <x v="212"/>
    <s v="16/07/2025"/>
    <x v="18"/>
    <x v="4"/>
    <x v="3"/>
    <x v="2"/>
    <x v="2"/>
    <x v="1"/>
    <n v="12405"/>
    <n v="3"/>
    <n v="3.8"/>
    <n v="7"/>
    <x v="4"/>
  </r>
  <r>
    <x v="213"/>
    <s v="02/04/2025"/>
    <x v="18"/>
    <x v="0"/>
    <x v="0"/>
    <x v="0"/>
    <x v="1"/>
    <x v="2"/>
    <n v="5424"/>
    <n v="4"/>
    <n v="4.8"/>
    <n v="5"/>
    <x v="2"/>
  </r>
  <r>
    <x v="214"/>
    <s v="30/05/2025"/>
    <x v="10"/>
    <x v="2"/>
    <x v="2"/>
    <x v="4"/>
    <x v="0"/>
    <x v="2"/>
    <n v="316535"/>
    <n v="5"/>
    <n v="4.9000000000000004"/>
    <n v="4"/>
    <x v="0"/>
  </r>
  <r>
    <x v="215"/>
    <s v="30/04/2025"/>
    <x v="7"/>
    <x v="3"/>
    <x v="3"/>
    <x v="4"/>
    <x v="0"/>
    <x v="3"/>
    <n v="4266"/>
    <n v="6"/>
    <n v="3.9"/>
    <n v="5"/>
    <x v="2"/>
  </r>
  <r>
    <x v="216"/>
    <s v="14/03/2025"/>
    <x v="17"/>
    <x v="3"/>
    <x v="3"/>
    <x v="1"/>
    <x v="2"/>
    <x v="2"/>
    <n v="24785"/>
    <n v="5"/>
    <n v="4.5"/>
    <n v="6"/>
    <x v="6"/>
  </r>
  <r>
    <x v="217"/>
    <s v="23/11/2025"/>
    <x v="5"/>
    <x v="9"/>
    <x v="1"/>
    <x v="1"/>
    <x v="3"/>
    <x v="1"/>
    <n v="32753"/>
    <n v="7"/>
    <n v="3.7"/>
    <n v="6"/>
    <x v="11"/>
  </r>
  <r>
    <x v="218"/>
    <s v="30/04/2025"/>
    <x v="17"/>
    <x v="4"/>
    <x v="3"/>
    <x v="2"/>
    <x v="1"/>
    <x v="2"/>
    <n v="3184"/>
    <n v="2"/>
    <n v="3.4"/>
    <n v="8"/>
    <x v="2"/>
  </r>
  <r>
    <x v="219"/>
    <s v="17/04/2025"/>
    <x v="4"/>
    <x v="6"/>
    <x v="1"/>
    <x v="0"/>
    <x v="0"/>
    <x v="1"/>
    <n v="18248"/>
    <n v="8"/>
    <n v="3.5"/>
    <n v="5"/>
    <x v="2"/>
  </r>
  <r>
    <x v="220"/>
    <s v="31/12/2025"/>
    <x v="0"/>
    <x v="17"/>
    <x v="4"/>
    <x v="3"/>
    <x v="1"/>
    <x v="0"/>
    <n v="7492"/>
    <n v="4"/>
    <n v="3.7"/>
    <n v="3"/>
    <x v="8"/>
  </r>
  <r>
    <x v="221"/>
    <s v="22/02/2025"/>
    <x v="15"/>
    <x v="15"/>
    <x v="0"/>
    <x v="1"/>
    <x v="2"/>
    <x v="1"/>
    <n v="1644"/>
    <n v="3"/>
    <n v="3.6"/>
    <n v="7"/>
    <x v="7"/>
  </r>
  <r>
    <x v="222"/>
    <s v="03/02/2025"/>
    <x v="2"/>
    <x v="0"/>
    <x v="0"/>
    <x v="4"/>
    <x v="1"/>
    <x v="3"/>
    <n v="6488"/>
    <n v="4"/>
    <n v="3.4"/>
    <n v="8"/>
    <x v="7"/>
  </r>
  <r>
    <x v="223"/>
    <s v="15/07/2025"/>
    <x v="2"/>
    <x v="3"/>
    <x v="3"/>
    <x v="5"/>
    <x v="0"/>
    <x v="1"/>
    <n v="15631"/>
    <n v="7"/>
    <n v="3.7"/>
    <n v="3"/>
    <x v="4"/>
  </r>
  <r>
    <x v="224"/>
    <s v="09/10/2025"/>
    <x v="10"/>
    <x v="11"/>
    <x v="3"/>
    <x v="0"/>
    <x v="1"/>
    <x v="1"/>
    <n v="30696"/>
    <n v="8"/>
    <n v="4"/>
    <n v="4"/>
    <x v="1"/>
  </r>
  <r>
    <x v="225"/>
    <s v="26/06/2025"/>
    <x v="11"/>
    <x v="11"/>
    <x v="3"/>
    <x v="0"/>
    <x v="1"/>
    <x v="1"/>
    <n v="5478"/>
    <n v="6"/>
    <n v="4.3"/>
    <n v="1"/>
    <x v="9"/>
  </r>
  <r>
    <x v="226"/>
    <s v="23/03/2025"/>
    <x v="6"/>
    <x v="9"/>
    <x v="1"/>
    <x v="3"/>
    <x v="3"/>
    <x v="0"/>
    <n v="3432"/>
    <n v="2"/>
    <n v="4.5999999999999996"/>
    <n v="4"/>
    <x v="6"/>
  </r>
  <r>
    <x v="227"/>
    <s v="31/10/2025"/>
    <x v="6"/>
    <x v="7"/>
    <x v="4"/>
    <x v="4"/>
    <x v="1"/>
    <x v="1"/>
    <n v="10314"/>
    <n v="6"/>
    <n v="4.9000000000000004"/>
    <n v="3"/>
    <x v="1"/>
  </r>
  <r>
    <x v="228"/>
    <s v="20/01/2025"/>
    <x v="18"/>
    <x v="5"/>
    <x v="4"/>
    <x v="5"/>
    <x v="0"/>
    <x v="0"/>
    <n v="2404"/>
    <n v="2"/>
    <n v="4.0999999999999996"/>
    <n v="1"/>
    <x v="10"/>
  </r>
  <r>
    <x v="229"/>
    <s v="15/06/2025"/>
    <x v="9"/>
    <x v="2"/>
    <x v="2"/>
    <x v="2"/>
    <x v="1"/>
    <x v="2"/>
    <n v="79388"/>
    <n v="1"/>
    <n v="4.7"/>
    <n v="6"/>
    <x v="9"/>
  </r>
  <r>
    <x v="230"/>
    <s v="15/06/2025"/>
    <x v="13"/>
    <x v="16"/>
    <x v="2"/>
    <x v="1"/>
    <x v="0"/>
    <x v="3"/>
    <n v="199074"/>
    <n v="3"/>
    <n v="4.5"/>
    <n v="6"/>
    <x v="9"/>
  </r>
  <r>
    <x v="231"/>
    <s v="07/03/2025"/>
    <x v="4"/>
    <x v="16"/>
    <x v="2"/>
    <x v="4"/>
    <x v="2"/>
    <x v="3"/>
    <n v="232746"/>
    <n v="3"/>
    <n v="3.3"/>
    <n v="6"/>
    <x v="6"/>
  </r>
  <r>
    <x v="232"/>
    <s v="09/02/2025"/>
    <x v="17"/>
    <x v="13"/>
    <x v="4"/>
    <x v="0"/>
    <x v="3"/>
    <x v="0"/>
    <n v="6232"/>
    <n v="4"/>
    <n v="4.7"/>
    <n v="6"/>
    <x v="7"/>
  </r>
  <r>
    <x v="233"/>
    <s v="29/06/2025"/>
    <x v="16"/>
    <x v="17"/>
    <x v="4"/>
    <x v="3"/>
    <x v="1"/>
    <x v="1"/>
    <n v="1275"/>
    <n v="5"/>
    <n v="4.5"/>
    <n v="3"/>
    <x v="9"/>
  </r>
  <r>
    <x v="234"/>
    <s v="21/02/2025"/>
    <x v="3"/>
    <x v="8"/>
    <x v="1"/>
    <x v="0"/>
    <x v="3"/>
    <x v="1"/>
    <n v="16056"/>
    <n v="8"/>
    <n v="4.5999999999999996"/>
    <n v="1"/>
    <x v="7"/>
  </r>
  <r>
    <x v="235"/>
    <s v="25/06/2025"/>
    <x v="0"/>
    <x v="0"/>
    <x v="0"/>
    <x v="3"/>
    <x v="0"/>
    <x v="3"/>
    <n v="3204"/>
    <n v="3"/>
    <n v="3.8"/>
    <n v="8"/>
    <x v="9"/>
  </r>
  <r>
    <x v="236"/>
    <s v="21/02/2025"/>
    <x v="3"/>
    <x v="17"/>
    <x v="4"/>
    <x v="4"/>
    <x v="2"/>
    <x v="2"/>
    <n v="6168"/>
    <n v="6"/>
    <n v="3.7"/>
    <n v="5"/>
    <x v="7"/>
  </r>
  <r>
    <x v="237"/>
    <s v="20/03/2025"/>
    <x v="19"/>
    <x v="11"/>
    <x v="3"/>
    <x v="0"/>
    <x v="2"/>
    <x v="0"/>
    <n v="1417"/>
    <n v="1"/>
    <n v="4.7"/>
    <n v="8"/>
    <x v="6"/>
  </r>
  <r>
    <x v="238"/>
    <s v="11/02/2025"/>
    <x v="9"/>
    <x v="13"/>
    <x v="4"/>
    <x v="1"/>
    <x v="1"/>
    <x v="0"/>
    <n v="12104"/>
    <n v="8"/>
    <n v="4.8"/>
    <n v="5"/>
    <x v="7"/>
  </r>
  <r>
    <x v="239"/>
    <s v="09/07/2025"/>
    <x v="6"/>
    <x v="12"/>
    <x v="2"/>
    <x v="0"/>
    <x v="0"/>
    <x v="2"/>
    <n v="111030"/>
    <n v="3"/>
    <n v="3.7"/>
    <n v="5"/>
    <x v="4"/>
  </r>
  <r>
    <x v="240"/>
    <s v="05/10/2025"/>
    <x v="10"/>
    <x v="20"/>
    <x v="0"/>
    <x v="1"/>
    <x v="1"/>
    <x v="0"/>
    <n v="10549"/>
    <n v="7"/>
    <n v="4.7"/>
    <n v="7"/>
    <x v="1"/>
  </r>
  <r>
    <x v="241"/>
    <s v="10/02/2025"/>
    <x v="7"/>
    <x v="4"/>
    <x v="3"/>
    <x v="3"/>
    <x v="0"/>
    <x v="0"/>
    <n v="37653"/>
    <n v="7"/>
    <n v="4.5999999999999996"/>
    <n v="3"/>
    <x v="7"/>
  </r>
  <r>
    <x v="242"/>
    <s v="06/03/2025"/>
    <x v="18"/>
    <x v="7"/>
    <x v="4"/>
    <x v="1"/>
    <x v="2"/>
    <x v="2"/>
    <n v="570"/>
    <n v="1"/>
    <n v="3.5"/>
    <n v="5"/>
    <x v="6"/>
  </r>
  <r>
    <x v="243"/>
    <s v="10/10/2025"/>
    <x v="7"/>
    <x v="11"/>
    <x v="3"/>
    <x v="3"/>
    <x v="0"/>
    <x v="0"/>
    <n v="4806"/>
    <n v="6"/>
    <n v="4.3"/>
    <n v="7"/>
    <x v="1"/>
  </r>
  <r>
    <x v="244"/>
    <s v="24/02/2025"/>
    <x v="6"/>
    <x v="1"/>
    <x v="1"/>
    <x v="5"/>
    <x v="1"/>
    <x v="2"/>
    <n v="10254"/>
    <n v="2"/>
    <n v="3.9"/>
    <n v="8"/>
    <x v="7"/>
  </r>
  <r>
    <x v="245"/>
    <s v="26/07/2025"/>
    <x v="14"/>
    <x v="13"/>
    <x v="4"/>
    <x v="2"/>
    <x v="3"/>
    <x v="2"/>
    <n v="5685"/>
    <n v="3"/>
    <n v="4.4000000000000004"/>
    <n v="1"/>
    <x v="4"/>
  </r>
  <r>
    <x v="246"/>
    <s v="09/06/2025"/>
    <x v="18"/>
    <x v="16"/>
    <x v="2"/>
    <x v="2"/>
    <x v="1"/>
    <x v="2"/>
    <n v="161890"/>
    <n v="5"/>
    <n v="5"/>
    <n v="8"/>
    <x v="9"/>
  </r>
  <r>
    <x v="247"/>
    <s v="19/04/2025"/>
    <x v="3"/>
    <x v="5"/>
    <x v="4"/>
    <x v="1"/>
    <x v="1"/>
    <x v="0"/>
    <n v="16555"/>
    <n v="7"/>
    <n v="4.5999999999999996"/>
    <n v="2"/>
    <x v="2"/>
  </r>
  <r>
    <x v="248"/>
    <s v="30/03/2025"/>
    <x v="19"/>
    <x v="1"/>
    <x v="1"/>
    <x v="2"/>
    <x v="3"/>
    <x v="3"/>
    <n v="33112"/>
    <n v="4"/>
    <n v="3.3"/>
    <n v="6"/>
    <x v="6"/>
  </r>
  <r>
    <x v="249"/>
    <s v="22/11/2025"/>
    <x v="14"/>
    <x v="8"/>
    <x v="1"/>
    <x v="5"/>
    <x v="3"/>
    <x v="1"/>
    <n v="17616"/>
    <n v="2"/>
    <n v="4.3"/>
    <n v="3"/>
    <x v="11"/>
  </r>
  <r>
    <x v="250"/>
    <s v="19/12/2025"/>
    <x v="13"/>
    <x v="13"/>
    <x v="4"/>
    <x v="1"/>
    <x v="0"/>
    <x v="0"/>
    <n v="724"/>
    <n v="2"/>
    <n v="4.7"/>
    <n v="4"/>
    <x v="8"/>
  </r>
  <r>
    <x v="251"/>
    <s v="20/09/2025"/>
    <x v="13"/>
    <x v="12"/>
    <x v="2"/>
    <x v="2"/>
    <x v="3"/>
    <x v="1"/>
    <n v="64640"/>
    <n v="1"/>
    <n v="3.5"/>
    <n v="1"/>
    <x v="5"/>
  </r>
  <r>
    <x v="252"/>
    <s v="28/06/2025"/>
    <x v="6"/>
    <x v="11"/>
    <x v="3"/>
    <x v="0"/>
    <x v="2"/>
    <x v="1"/>
    <n v="25400"/>
    <n v="8"/>
    <n v="4.0999999999999996"/>
    <n v="7"/>
    <x v="9"/>
  </r>
  <r>
    <x v="253"/>
    <s v="02/06/2025"/>
    <x v="11"/>
    <x v="6"/>
    <x v="1"/>
    <x v="1"/>
    <x v="3"/>
    <x v="0"/>
    <n v="22590"/>
    <n v="2"/>
    <n v="3.8"/>
    <n v="5"/>
    <x v="9"/>
  </r>
  <r>
    <x v="254"/>
    <s v="30/01/2025"/>
    <x v="11"/>
    <x v="7"/>
    <x v="4"/>
    <x v="3"/>
    <x v="1"/>
    <x v="3"/>
    <n v="10913"/>
    <n v="7"/>
    <n v="4.0999999999999996"/>
    <n v="5"/>
    <x v="10"/>
  </r>
  <r>
    <x v="255"/>
    <s v="25/06/2025"/>
    <x v="10"/>
    <x v="10"/>
    <x v="0"/>
    <x v="4"/>
    <x v="3"/>
    <x v="2"/>
    <n v="6820"/>
    <n v="4"/>
    <n v="3.7"/>
    <n v="3"/>
    <x v="9"/>
  </r>
  <r>
    <x v="256"/>
    <s v="13/05/2025"/>
    <x v="16"/>
    <x v="18"/>
    <x v="3"/>
    <x v="2"/>
    <x v="3"/>
    <x v="1"/>
    <n v="7560"/>
    <n v="3"/>
    <n v="3.6"/>
    <n v="5"/>
    <x v="0"/>
  </r>
  <r>
    <x v="257"/>
    <s v="26/08/2025"/>
    <x v="12"/>
    <x v="6"/>
    <x v="1"/>
    <x v="0"/>
    <x v="1"/>
    <x v="1"/>
    <n v="21936"/>
    <n v="2"/>
    <n v="3.3"/>
    <n v="4"/>
    <x v="3"/>
  </r>
  <r>
    <x v="258"/>
    <s v="19/03/2025"/>
    <x v="9"/>
    <x v="3"/>
    <x v="3"/>
    <x v="3"/>
    <x v="3"/>
    <x v="0"/>
    <n v="16092"/>
    <n v="3"/>
    <n v="3.5"/>
    <n v="3"/>
    <x v="6"/>
  </r>
  <r>
    <x v="259"/>
    <s v="03/01/2025"/>
    <x v="8"/>
    <x v="14"/>
    <x v="2"/>
    <x v="5"/>
    <x v="1"/>
    <x v="3"/>
    <n v="196792"/>
    <n v="8"/>
    <n v="4.0999999999999996"/>
    <n v="2"/>
    <x v="10"/>
  </r>
  <r>
    <x v="260"/>
    <s v="02/09/2025"/>
    <x v="12"/>
    <x v="11"/>
    <x v="3"/>
    <x v="4"/>
    <x v="2"/>
    <x v="2"/>
    <n v="16331"/>
    <n v="7"/>
    <n v="4.9000000000000004"/>
    <n v="6"/>
    <x v="5"/>
  </r>
  <r>
    <x v="261"/>
    <s v="22/12/2025"/>
    <x v="9"/>
    <x v="7"/>
    <x v="4"/>
    <x v="0"/>
    <x v="3"/>
    <x v="1"/>
    <n v="4668"/>
    <n v="6"/>
    <n v="4.3"/>
    <n v="3"/>
    <x v="8"/>
  </r>
  <r>
    <x v="262"/>
    <s v="11/08/2025"/>
    <x v="0"/>
    <x v="4"/>
    <x v="3"/>
    <x v="4"/>
    <x v="0"/>
    <x v="0"/>
    <n v="6729"/>
    <n v="3"/>
    <n v="4.9000000000000004"/>
    <n v="7"/>
    <x v="3"/>
  </r>
  <r>
    <x v="263"/>
    <s v="29/10/2025"/>
    <x v="4"/>
    <x v="17"/>
    <x v="4"/>
    <x v="0"/>
    <x v="2"/>
    <x v="2"/>
    <n v="5253"/>
    <n v="3"/>
    <n v="3.7"/>
    <n v="1"/>
    <x v="1"/>
  </r>
  <r>
    <x v="264"/>
    <s v="02/08/2025"/>
    <x v="0"/>
    <x v="0"/>
    <x v="0"/>
    <x v="2"/>
    <x v="1"/>
    <x v="2"/>
    <n v="8624"/>
    <n v="8"/>
    <n v="4.5"/>
    <n v="4"/>
    <x v="3"/>
  </r>
  <r>
    <x v="265"/>
    <s v="15/11/2025"/>
    <x v="14"/>
    <x v="6"/>
    <x v="1"/>
    <x v="4"/>
    <x v="0"/>
    <x v="1"/>
    <n v="8184"/>
    <n v="3"/>
    <n v="3.7"/>
    <n v="2"/>
    <x v="11"/>
  </r>
  <r>
    <x v="266"/>
    <s v="03/07/2025"/>
    <x v="18"/>
    <x v="9"/>
    <x v="1"/>
    <x v="4"/>
    <x v="2"/>
    <x v="2"/>
    <n v="62524"/>
    <n v="7"/>
    <n v="4.8"/>
    <n v="8"/>
    <x v="4"/>
  </r>
  <r>
    <x v="267"/>
    <s v="21/10/2025"/>
    <x v="17"/>
    <x v="0"/>
    <x v="0"/>
    <x v="2"/>
    <x v="3"/>
    <x v="3"/>
    <n v="4840"/>
    <n v="8"/>
    <n v="4.8"/>
    <n v="4"/>
    <x v="1"/>
  </r>
  <r>
    <x v="268"/>
    <s v="31/03/2025"/>
    <x v="0"/>
    <x v="0"/>
    <x v="0"/>
    <x v="4"/>
    <x v="0"/>
    <x v="1"/>
    <n v="895"/>
    <n v="1"/>
    <n v="3.4"/>
    <n v="1"/>
    <x v="6"/>
  </r>
  <r>
    <x v="269"/>
    <s v="15/11/2025"/>
    <x v="11"/>
    <x v="12"/>
    <x v="2"/>
    <x v="3"/>
    <x v="1"/>
    <x v="3"/>
    <n v="237105"/>
    <n v="5"/>
    <n v="3.9"/>
    <n v="8"/>
    <x v="11"/>
  </r>
  <r>
    <x v="270"/>
    <s v="09/03/2025"/>
    <x v="1"/>
    <x v="17"/>
    <x v="4"/>
    <x v="5"/>
    <x v="1"/>
    <x v="1"/>
    <n v="674"/>
    <n v="1"/>
    <n v="4.5999999999999996"/>
    <n v="8"/>
    <x v="6"/>
  </r>
  <r>
    <x v="271"/>
    <s v="17/12/2025"/>
    <x v="18"/>
    <x v="1"/>
    <x v="1"/>
    <x v="0"/>
    <x v="0"/>
    <x v="1"/>
    <n v="24060"/>
    <n v="3"/>
    <n v="3.3"/>
    <n v="5"/>
    <x v="8"/>
  </r>
  <r>
    <x v="272"/>
    <s v="10/08/2025"/>
    <x v="0"/>
    <x v="1"/>
    <x v="1"/>
    <x v="1"/>
    <x v="0"/>
    <x v="3"/>
    <n v="39788"/>
    <n v="4"/>
    <n v="4.8"/>
    <n v="1"/>
    <x v="3"/>
  </r>
  <r>
    <x v="273"/>
    <s v="08/02/2025"/>
    <x v="5"/>
    <x v="18"/>
    <x v="3"/>
    <x v="4"/>
    <x v="2"/>
    <x v="3"/>
    <n v="23824"/>
    <n v="8"/>
    <n v="4.0999999999999996"/>
    <n v="7"/>
    <x v="7"/>
  </r>
  <r>
    <x v="274"/>
    <s v="15/02/2025"/>
    <x v="16"/>
    <x v="11"/>
    <x v="3"/>
    <x v="0"/>
    <x v="2"/>
    <x v="2"/>
    <n v="38192"/>
    <n v="8"/>
    <n v="3.2"/>
    <n v="7"/>
    <x v="7"/>
  </r>
  <r>
    <x v="275"/>
    <s v="18/09/2025"/>
    <x v="18"/>
    <x v="6"/>
    <x v="1"/>
    <x v="5"/>
    <x v="1"/>
    <x v="1"/>
    <n v="6756"/>
    <n v="4"/>
    <n v="4.7"/>
    <n v="8"/>
    <x v="5"/>
  </r>
  <r>
    <x v="276"/>
    <s v="19/02/2025"/>
    <x v="7"/>
    <x v="3"/>
    <x v="3"/>
    <x v="0"/>
    <x v="0"/>
    <x v="3"/>
    <n v="23560"/>
    <n v="4"/>
    <n v="4.2"/>
    <n v="6"/>
    <x v="7"/>
  </r>
  <r>
    <x v="277"/>
    <s v="24/02/2025"/>
    <x v="18"/>
    <x v="5"/>
    <x v="4"/>
    <x v="0"/>
    <x v="1"/>
    <x v="2"/>
    <n v="5260"/>
    <n v="5"/>
    <n v="3.6"/>
    <n v="4"/>
    <x v="7"/>
  </r>
  <r>
    <x v="278"/>
    <s v="19/08/2025"/>
    <x v="10"/>
    <x v="1"/>
    <x v="1"/>
    <x v="3"/>
    <x v="1"/>
    <x v="0"/>
    <n v="6968"/>
    <n v="8"/>
    <n v="4.2"/>
    <n v="1"/>
    <x v="3"/>
  </r>
  <r>
    <x v="279"/>
    <s v="07/03/2025"/>
    <x v="11"/>
    <x v="9"/>
    <x v="1"/>
    <x v="3"/>
    <x v="3"/>
    <x v="1"/>
    <n v="15318"/>
    <n v="2"/>
    <n v="5"/>
    <n v="4"/>
    <x v="6"/>
  </r>
  <r>
    <x v="280"/>
    <s v="12/03/2025"/>
    <x v="19"/>
    <x v="18"/>
    <x v="3"/>
    <x v="4"/>
    <x v="3"/>
    <x v="1"/>
    <n v="36309"/>
    <n v="7"/>
    <n v="4.5"/>
    <n v="4"/>
    <x v="6"/>
  </r>
  <r>
    <x v="281"/>
    <s v="15/09/2025"/>
    <x v="10"/>
    <x v="7"/>
    <x v="4"/>
    <x v="2"/>
    <x v="1"/>
    <x v="2"/>
    <n v="4332"/>
    <n v="6"/>
    <n v="4.2"/>
    <n v="7"/>
    <x v="5"/>
  </r>
  <r>
    <x v="282"/>
    <s v="13/01/2025"/>
    <x v="3"/>
    <x v="1"/>
    <x v="1"/>
    <x v="1"/>
    <x v="3"/>
    <x v="0"/>
    <n v="36218"/>
    <n v="7"/>
    <n v="4.5999999999999996"/>
    <n v="3"/>
    <x v="10"/>
  </r>
  <r>
    <x v="283"/>
    <s v="15/04/2025"/>
    <x v="10"/>
    <x v="20"/>
    <x v="0"/>
    <x v="3"/>
    <x v="0"/>
    <x v="1"/>
    <n v="1034"/>
    <n v="1"/>
    <n v="4.5"/>
    <n v="4"/>
    <x v="2"/>
  </r>
  <r>
    <x v="284"/>
    <s v="18/07/2025"/>
    <x v="4"/>
    <x v="15"/>
    <x v="0"/>
    <x v="3"/>
    <x v="0"/>
    <x v="1"/>
    <n v="11921"/>
    <n v="7"/>
    <n v="4.5"/>
    <n v="4"/>
    <x v="4"/>
  </r>
  <r>
    <x v="285"/>
    <s v="10/04/2025"/>
    <x v="5"/>
    <x v="9"/>
    <x v="1"/>
    <x v="0"/>
    <x v="1"/>
    <x v="1"/>
    <n v="18235"/>
    <n v="5"/>
    <n v="4.5"/>
    <n v="2"/>
    <x v="2"/>
  </r>
  <r>
    <x v="286"/>
    <s v="08/03/2025"/>
    <x v="2"/>
    <x v="6"/>
    <x v="1"/>
    <x v="4"/>
    <x v="3"/>
    <x v="2"/>
    <n v="25320"/>
    <n v="3"/>
    <n v="4.5"/>
    <n v="3"/>
    <x v="6"/>
  </r>
  <r>
    <x v="287"/>
    <s v="09/09/2025"/>
    <x v="16"/>
    <x v="6"/>
    <x v="1"/>
    <x v="5"/>
    <x v="1"/>
    <x v="2"/>
    <n v="22872"/>
    <n v="6"/>
    <n v="4.0999999999999996"/>
    <n v="3"/>
    <x v="5"/>
  </r>
  <r>
    <x v="288"/>
    <s v="20/04/2025"/>
    <x v="7"/>
    <x v="2"/>
    <x v="2"/>
    <x v="1"/>
    <x v="3"/>
    <x v="3"/>
    <n v="245874"/>
    <n v="6"/>
    <n v="4.2"/>
    <n v="1"/>
    <x v="2"/>
  </r>
  <r>
    <x v="289"/>
    <s v="21/01/2025"/>
    <x v="12"/>
    <x v="7"/>
    <x v="4"/>
    <x v="2"/>
    <x v="1"/>
    <x v="3"/>
    <n v="4284"/>
    <n v="6"/>
    <n v="4.5"/>
    <n v="1"/>
    <x v="10"/>
  </r>
  <r>
    <x v="290"/>
    <s v="30/11/2025"/>
    <x v="9"/>
    <x v="20"/>
    <x v="0"/>
    <x v="4"/>
    <x v="0"/>
    <x v="3"/>
    <n v="3824"/>
    <n v="4"/>
    <n v="4.9000000000000004"/>
    <n v="1"/>
    <x v="11"/>
  </r>
  <r>
    <x v="291"/>
    <s v="03/10/2025"/>
    <x v="9"/>
    <x v="10"/>
    <x v="0"/>
    <x v="0"/>
    <x v="2"/>
    <x v="0"/>
    <n v="11368"/>
    <n v="7"/>
    <n v="4.5"/>
    <n v="1"/>
    <x v="1"/>
  </r>
  <r>
    <x v="292"/>
    <s v="06/02/2025"/>
    <x v="0"/>
    <x v="19"/>
    <x v="2"/>
    <x v="3"/>
    <x v="2"/>
    <x v="2"/>
    <n v="213440"/>
    <n v="4"/>
    <n v="3.9"/>
    <n v="6"/>
    <x v="7"/>
  </r>
  <r>
    <x v="293"/>
    <s v="27/10/2025"/>
    <x v="4"/>
    <x v="1"/>
    <x v="1"/>
    <x v="0"/>
    <x v="3"/>
    <x v="3"/>
    <n v="2538"/>
    <n v="1"/>
    <n v="3.7"/>
    <n v="5"/>
    <x v="1"/>
  </r>
  <r>
    <x v="294"/>
    <s v="05/12/2025"/>
    <x v="8"/>
    <x v="11"/>
    <x v="3"/>
    <x v="2"/>
    <x v="3"/>
    <x v="2"/>
    <n v="2501"/>
    <n v="1"/>
    <n v="4.5"/>
    <n v="5"/>
    <x v="8"/>
  </r>
  <r>
    <x v="295"/>
    <s v="05/03/2025"/>
    <x v="19"/>
    <x v="9"/>
    <x v="1"/>
    <x v="3"/>
    <x v="0"/>
    <x v="0"/>
    <n v="2194"/>
    <n v="1"/>
    <n v="3.7"/>
    <n v="6"/>
    <x v="6"/>
  </r>
  <r>
    <x v="296"/>
    <s v="12/11/2025"/>
    <x v="10"/>
    <x v="7"/>
    <x v="4"/>
    <x v="0"/>
    <x v="3"/>
    <x v="2"/>
    <n v="3595"/>
    <n v="5"/>
    <n v="4.7"/>
    <n v="8"/>
    <x v="11"/>
  </r>
  <r>
    <x v="297"/>
    <s v="12/04/2025"/>
    <x v="19"/>
    <x v="14"/>
    <x v="2"/>
    <x v="2"/>
    <x v="1"/>
    <x v="3"/>
    <n v="154440"/>
    <n v="8"/>
    <n v="3.7"/>
    <n v="2"/>
    <x v="2"/>
  </r>
  <r>
    <x v="298"/>
    <s v="04/12/2025"/>
    <x v="1"/>
    <x v="19"/>
    <x v="2"/>
    <x v="0"/>
    <x v="3"/>
    <x v="0"/>
    <n v="383140"/>
    <n v="5"/>
    <n v="4.7"/>
    <n v="7"/>
    <x v="8"/>
  </r>
  <r>
    <x v="299"/>
    <s v="22/05/2025"/>
    <x v="14"/>
    <x v="5"/>
    <x v="4"/>
    <x v="5"/>
    <x v="2"/>
    <x v="0"/>
    <n v="9648"/>
    <n v="6"/>
    <n v="3.8"/>
    <n v="5"/>
    <x v="0"/>
  </r>
  <r>
    <x v="300"/>
    <s v="24/05/2025"/>
    <x v="12"/>
    <x v="1"/>
    <x v="1"/>
    <x v="1"/>
    <x v="2"/>
    <x v="3"/>
    <n v="6156"/>
    <n v="3"/>
    <n v="4.5"/>
    <n v="1"/>
    <x v="0"/>
  </r>
  <r>
    <x v="301"/>
    <s v="19/01/2025"/>
    <x v="8"/>
    <x v="9"/>
    <x v="1"/>
    <x v="3"/>
    <x v="2"/>
    <x v="3"/>
    <n v="33965"/>
    <n v="5"/>
    <n v="3.9"/>
    <n v="5"/>
    <x v="10"/>
  </r>
  <r>
    <x v="302"/>
    <s v="06/01/2025"/>
    <x v="14"/>
    <x v="19"/>
    <x v="2"/>
    <x v="2"/>
    <x v="2"/>
    <x v="0"/>
    <n v="279552"/>
    <n v="4"/>
    <n v="3.5"/>
    <n v="3"/>
    <x v="10"/>
  </r>
  <r>
    <x v="303"/>
    <s v="02/02/2025"/>
    <x v="5"/>
    <x v="18"/>
    <x v="3"/>
    <x v="3"/>
    <x v="1"/>
    <x v="2"/>
    <n v="11965"/>
    <n v="5"/>
    <n v="4.8"/>
    <n v="6"/>
    <x v="7"/>
  </r>
  <r>
    <x v="304"/>
    <s v="22/02/2025"/>
    <x v="6"/>
    <x v="20"/>
    <x v="0"/>
    <x v="1"/>
    <x v="2"/>
    <x v="1"/>
    <n v="4195"/>
    <n v="5"/>
    <n v="4.4000000000000004"/>
    <n v="6"/>
    <x v="7"/>
  </r>
  <r>
    <x v="305"/>
    <s v="22/09/2025"/>
    <x v="17"/>
    <x v="18"/>
    <x v="3"/>
    <x v="4"/>
    <x v="0"/>
    <x v="2"/>
    <n v="32543"/>
    <n v="7"/>
    <n v="3.2"/>
    <n v="3"/>
    <x v="5"/>
  </r>
  <r>
    <x v="306"/>
    <s v="19/04/2025"/>
    <x v="18"/>
    <x v="6"/>
    <x v="1"/>
    <x v="1"/>
    <x v="2"/>
    <x v="3"/>
    <n v="8214"/>
    <n v="3"/>
    <n v="4.4000000000000004"/>
    <n v="7"/>
    <x v="2"/>
  </r>
  <r>
    <x v="307"/>
    <s v="18/04/2025"/>
    <x v="8"/>
    <x v="11"/>
    <x v="3"/>
    <x v="1"/>
    <x v="2"/>
    <x v="0"/>
    <n v="8088"/>
    <n v="3"/>
    <n v="3.4"/>
    <n v="3"/>
    <x v="2"/>
  </r>
  <r>
    <x v="308"/>
    <s v="13/05/2025"/>
    <x v="9"/>
    <x v="10"/>
    <x v="0"/>
    <x v="4"/>
    <x v="1"/>
    <x v="3"/>
    <n v="4074"/>
    <n v="3"/>
    <n v="3.2"/>
    <n v="5"/>
    <x v="0"/>
  </r>
  <r>
    <x v="309"/>
    <s v="23/04/2025"/>
    <x v="1"/>
    <x v="18"/>
    <x v="3"/>
    <x v="1"/>
    <x v="3"/>
    <x v="3"/>
    <n v="15323"/>
    <n v="7"/>
    <n v="4.4000000000000004"/>
    <n v="5"/>
    <x v="2"/>
  </r>
  <r>
    <x v="310"/>
    <s v="28/04/2025"/>
    <x v="8"/>
    <x v="1"/>
    <x v="1"/>
    <x v="5"/>
    <x v="2"/>
    <x v="0"/>
    <n v="28805"/>
    <n v="7"/>
    <n v="4.0999999999999996"/>
    <n v="7"/>
    <x v="2"/>
  </r>
  <r>
    <x v="311"/>
    <s v="30/09/2025"/>
    <x v="12"/>
    <x v="3"/>
    <x v="3"/>
    <x v="3"/>
    <x v="3"/>
    <x v="2"/>
    <n v="11286"/>
    <n v="2"/>
    <n v="4.7"/>
    <n v="7"/>
    <x v="5"/>
  </r>
  <r>
    <x v="312"/>
    <s v="28/04/2025"/>
    <x v="14"/>
    <x v="8"/>
    <x v="1"/>
    <x v="4"/>
    <x v="2"/>
    <x v="1"/>
    <n v="19200"/>
    <n v="8"/>
    <n v="4"/>
    <n v="5"/>
    <x v="2"/>
  </r>
  <r>
    <x v="313"/>
    <s v="12/05/2025"/>
    <x v="19"/>
    <x v="8"/>
    <x v="1"/>
    <x v="1"/>
    <x v="3"/>
    <x v="3"/>
    <n v="10920"/>
    <n v="4"/>
    <n v="4.0999999999999996"/>
    <n v="7"/>
    <x v="0"/>
  </r>
  <r>
    <x v="314"/>
    <s v="21/03/2025"/>
    <x v="5"/>
    <x v="14"/>
    <x v="2"/>
    <x v="4"/>
    <x v="1"/>
    <x v="3"/>
    <n v="257243"/>
    <n v="7"/>
    <n v="4.2"/>
    <n v="5"/>
    <x v="6"/>
  </r>
  <r>
    <x v="315"/>
    <s v="14/10/2025"/>
    <x v="13"/>
    <x v="13"/>
    <x v="4"/>
    <x v="3"/>
    <x v="0"/>
    <x v="2"/>
    <n v="12048"/>
    <n v="8"/>
    <n v="4.5"/>
    <n v="2"/>
    <x v="1"/>
  </r>
  <r>
    <x v="316"/>
    <s v="23/06/2025"/>
    <x v="9"/>
    <x v="5"/>
    <x v="4"/>
    <x v="0"/>
    <x v="3"/>
    <x v="0"/>
    <n v="1843"/>
    <n v="1"/>
    <n v="4"/>
    <n v="7"/>
    <x v="9"/>
  </r>
  <r>
    <x v="317"/>
    <s v="08/11/2025"/>
    <x v="1"/>
    <x v="14"/>
    <x v="2"/>
    <x v="1"/>
    <x v="1"/>
    <x v="3"/>
    <n v="55013"/>
    <n v="1"/>
    <n v="4.0999999999999996"/>
    <n v="1"/>
    <x v="11"/>
  </r>
  <r>
    <x v="318"/>
    <s v="03/12/2025"/>
    <x v="2"/>
    <x v="10"/>
    <x v="0"/>
    <x v="2"/>
    <x v="0"/>
    <x v="2"/>
    <n v="3490"/>
    <n v="5"/>
    <n v="4.5"/>
    <n v="3"/>
    <x v="8"/>
  </r>
  <r>
    <x v="319"/>
    <s v="22/05/2025"/>
    <x v="9"/>
    <x v="17"/>
    <x v="4"/>
    <x v="5"/>
    <x v="3"/>
    <x v="1"/>
    <n v="13076"/>
    <n v="7"/>
    <n v="4.0999999999999996"/>
    <n v="2"/>
    <x v="0"/>
  </r>
  <r>
    <x v="320"/>
    <s v="26/04/2025"/>
    <x v="10"/>
    <x v="16"/>
    <x v="2"/>
    <x v="0"/>
    <x v="3"/>
    <x v="1"/>
    <n v="311416"/>
    <n v="4"/>
    <n v="3.5"/>
    <n v="2"/>
    <x v="2"/>
  </r>
  <r>
    <x v="321"/>
    <s v="03/10/2025"/>
    <x v="17"/>
    <x v="20"/>
    <x v="0"/>
    <x v="1"/>
    <x v="1"/>
    <x v="2"/>
    <n v="8605"/>
    <n v="5"/>
    <n v="4.5999999999999996"/>
    <n v="6"/>
    <x v="1"/>
  </r>
  <r>
    <x v="322"/>
    <s v="13/05/2025"/>
    <x v="11"/>
    <x v="3"/>
    <x v="3"/>
    <x v="4"/>
    <x v="3"/>
    <x v="2"/>
    <n v="6572"/>
    <n v="2"/>
    <n v="4.9000000000000004"/>
    <n v="1"/>
    <x v="0"/>
  </r>
  <r>
    <x v="323"/>
    <s v="08/02/2025"/>
    <x v="14"/>
    <x v="4"/>
    <x v="3"/>
    <x v="1"/>
    <x v="0"/>
    <x v="0"/>
    <n v="7470"/>
    <n v="3"/>
    <n v="3.7"/>
    <n v="4"/>
    <x v="7"/>
  </r>
  <r>
    <x v="324"/>
    <s v="16/04/2025"/>
    <x v="9"/>
    <x v="13"/>
    <x v="4"/>
    <x v="1"/>
    <x v="1"/>
    <x v="2"/>
    <n v="5088"/>
    <n v="4"/>
    <n v="4.5999999999999996"/>
    <n v="2"/>
    <x v="2"/>
  </r>
  <r>
    <x v="325"/>
    <s v="04/09/2025"/>
    <x v="5"/>
    <x v="1"/>
    <x v="1"/>
    <x v="4"/>
    <x v="0"/>
    <x v="2"/>
    <n v="31806"/>
    <n v="6"/>
    <n v="4.0999999999999996"/>
    <n v="5"/>
    <x v="5"/>
  </r>
  <r>
    <x v="326"/>
    <s v="02/09/2025"/>
    <x v="18"/>
    <x v="8"/>
    <x v="1"/>
    <x v="1"/>
    <x v="2"/>
    <x v="2"/>
    <n v="8290"/>
    <n v="1"/>
    <n v="5"/>
    <n v="8"/>
    <x v="5"/>
  </r>
  <r>
    <x v="327"/>
    <s v="25/10/2025"/>
    <x v="11"/>
    <x v="5"/>
    <x v="4"/>
    <x v="3"/>
    <x v="3"/>
    <x v="1"/>
    <n v="3462"/>
    <n v="2"/>
    <n v="4.2"/>
    <n v="4"/>
    <x v="1"/>
  </r>
  <r>
    <x v="328"/>
    <s v="06/08/2025"/>
    <x v="6"/>
    <x v="5"/>
    <x v="4"/>
    <x v="1"/>
    <x v="0"/>
    <x v="2"/>
    <n v="7096"/>
    <n v="4"/>
    <n v="4"/>
    <n v="3"/>
    <x v="3"/>
  </r>
  <r>
    <x v="329"/>
    <s v="12/10/2025"/>
    <x v="16"/>
    <x v="2"/>
    <x v="2"/>
    <x v="3"/>
    <x v="0"/>
    <x v="1"/>
    <n v="151312"/>
    <n v="7"/>
    <n v="4.7"/>
    <n v="3"/>
    <x v="1"/>
  </r>
  <r>
    <x v="330"/>
    <s v="09/05/2025"/>
    <x v="7"/>
    <x v="4"/>
    <x v="3"/>
    <x v="3"/>
    <x v="3"/>
    <x v="1"/>
    <n v="1191"/>
    <n v="1"/>
    <n v="4.7"/>
    <n v="8"/>
    <x v="0"/>
  </r>
  <r>
    <x v="331"/>
    <s v="14/10/2025"/>
    <x v="6"/>
    <x v="16"/>
    <x v="2"/>
    <x v="5"/>
    <x v="0"/>
    <x v="1"/>
    <n v="282350"/>
    <n v="5"/>
    <n v="4.8"/>
    <n v="4"/>
    <x v="1"/>
  </r>
  <r>
    <x v="332"/>
    <s v="11/12/2025"/>
    <x v="1"/>
    <x v="16"/>
    <x v="2"/>
    <x v="1"/>
    <x v="3"/>
    <x v="3"/>
    <n v="419576"/>
    <n v="8"/>
    <n v="4"/>
    <n v="3"/>
    <x v="8"/>
  </r>
  <r>
    <x v="333"/>
    <s v="06/02/2025"/>
    <x v="4"/>
    <x v="8"/>
    <x v="1"/>
    <x v="1"/>
    <x v="1"/>
    <x v="1"/>
    <n v="11982"/>
    <n v="2"/>
    <n v="4.4000000000000004"/>
    <n v="5"/>
    <x v="7"/>
  </r>
  <r>
    <x v="334"/>
    <s v="28/10/2025"/>
    <x v="9"/>
    <x v="4"/>
    <x v="3"/>
    <x v="4"/>
    <x v="0"/>
    <x v="3"/>
    <n v="7112"/>
    <n v="8"/>
    <n v="4.5"/>
    <n v="5"/>
    <x v="1"/>
  </r>
  <r>
    <x v="335"/>
    <s v="02/02/2025"/>
    <x v="7"/>
    <x v="0"/>
    <x v="0"/>
    <x v="2"/>
    <x v="0"/>
    <x v="2"/>
    <n v="11384"/>
    <n v="8"/>
    <n v="4.5999999999999996"/>
    <n v="2"/>
    <x v="7"/>
  </r>
  <r>
    <x v="336"/>
    <s v="28/04/2025"/>
    <x v="0"/>
    <x v="4"/>
    <x v="3"/>
    <x v="0"/>
    <x v="3"/>
    <x v="1"/>
    <n v="6940"/>
    <n v="4"/>
    <n v="4.0999999999999996"/>
    <n v="3"/>
    <x v="2"/>
  </r>
  <r>
    <x v="337"/>
    <s v="04/10/2025"/>
    <x v="6"/>
    <x v="11"/>
    <x v="3"/>
    <x v="3"/>
    <x v="3"/>
    <x v="1"/>
    <n v="25585"/>
    <n v="5"/>
    <n v="4.3"/>
    <n v="8"/>
    <x v="1"/>
  </r>
  <r>
    <x v="338"/>
    <s v="15/02/2025"/>
    <x v="12"/>
    <x v="18"/>
    <x v="3"/>
    <x v="4"/>
    <x v="3"/>
    <x v="1"/>
    <n v="22624"/>
    <n v="8"/>
    <n v="3.7"/>
    <n v="1"/>
    <x v="7"/>
  </r>
  <r>
    <x v="339"/>
    <s v="19/12/2025"/>
    <x v="10"/>
    <x v="3"/>
    <x v="3"/>
    <x v="2"/>
    <x v="0"/>
    <x v="3"/>
    <n v="33808"/>
    <n v="8"/>
    <n v="4.3"/>
    <n v="1"/>
    <x v="8"/>
  </r>
  <r>
    <x v="340"/>
    <s v="22/07/2025"/>
    <x v="12"/>
    <x v="8"/>
    <x v="1"/>
    <x v="5"/>
    <x v="3"/>
    <x v="1"/>
    <n v="20432"/>
    <n v="4"/>
    <n v="3.3"/>
    <n v="4"/>
    <x v="4"/>
  </r>
  <r>
    <x v="341"/>
    <s v="31/07/2025"/>
    <x v="11"/>
    <x v="6"/>
    <x v="1"/>
    <x v="1"/>
    <x v="1"/>
    <x v="0"/>
    <n v="10432"/>
    <n v="4"/>
    <n v="4.3"/>
    <n v="8"/>
    <x v="4"/>
  </r>
  <r>
    <x v="342"/>
    <s v="19/03/2025"/>
    <x v="0"/>
    <x v="14"/>
    <x v="2"/>
    <x v="4"/>
    <x v="2"/>
    <x v="0"/>
    <n v="26871"/>
    <n v="1"/>
    <n v="3.7"/>
    <n v="8"/>
    <x v="6"/>
  </r>
  <r>
    <x v="343"/>
    <s v="22/04/2025"/>
    <x v="18"/>
    <x v="15"/>
    <x v="0"/>
    <x v="0"/>
    <x v="0"/>
    <x v="2"/>
    <n v="6960"/>
    <n v="6"/>
    <n v="4.5"/>
    <n v="1"/>
    <x v="2"/>
  </r>
  <r>
    <x v="344"/>
    <s v="06/02/2025"/>
    <x v="5"/>
    <x v="12"/>
    <x v="2"/>
    <x v="3"/>
    <x v="0"/>
    <x v="2"/>
    <n v="282224"/>
    <n v="8"/>
    <n v="3.4"/>
    <n v="4"/>
    <x v="7"/>
  </r>
  <r>
    <x v="345"/>
    <s v="18/02/2025"/>
    <x v="10"/>
    <x v="5"/>
    <x v="4"/>
    <x v="5"/>
    <x v="2"/>
    <x v="1"/>
    <n v="7372"/>
    <n v="4"/>
    <n v="4.3"/>
    <n v="1"/>
    <x v="7"/>
  </r>
  <r>
    <x v="346"/>
    <s v="12/04/2025"/>
    <x v="1"/>
    <x v="4"/>
    <x v="3"/>
    <x v="2"/>
    <x v="2"/>
    <x v="3"/>
    <n v="15798"/>
    <n v="6"/>
    <n v="4"/>
    <n v="1"/>
    <x v="2"/>
  </r>
  <r>
    <x v="347"/>
    <s v="22/01/2025"/>
    <x v="4"/>
    <x v="17"/>
    <x v="4"/>
    <x v="2"/>
    <x v="2"/>
    <x v="2"/>
    <n v="7072"/>
    <n v="8"/>
    <n v="3.5"/>
    <n v="2"/>
    <x v="10"/>
  </r>
  <r>
    <x v="348"/>
    <s v="26/12/2025"/>
    <x v="17"/>
    <x v="2"/>
    <x v="2"/>
    <x v="1"/>
    <x v="0"/>
    <x v="2"/>
    <n v="65994"/>
    <n v="2"/>
    <n v="4.5999999999999996"/>
    <n v="6"/>
    <x v="8"/>
  </r>
  <r>
    <x v="349"/>
    <s v="10/03/2025"/>
    <x v="19"/>
    <x v="4"/>
    <x v="3"/>
    <x v="5"/>
    <x v="0"/>
    <x v="1"/>
    <n v="26395"/>
    <n v="5"/>
    <n v="4.2"/>
    <n v="8"/>
    <x v="6"/>
  </r>
  <r>
    <x v="350"/>
    <s v="21/05/2025"/>
    <x v="17"/>
    <x v="12"/>
    <x v="2"/>
    <x v="0"/>
    <x v="1"/>
    <x v="0"/>
    <n v="68457"/>
    <n v="3"/>
    <n v="4.7"/>
    <n v="6"/>
    <x v="0"/>
  </r>
  <r>
    <x v="351"/>
    <s v="14/11/2025"/>
    <x v="10"/>
    <x v="20"/>
    <x v="0"/>
    <x v="4"/>
    <x v="3"/>
    <x v="1"/>
    <n v="3824"/>
    <n v="4"/>
    <n v="4.0999999999999996"/>
    <n v="8"/>
    <x v="11"/>
  </r>
  <r>
    <x v="352"/>
    <s v="26/02/2025"/>
    <x v="7"/>
    <x v="4"/>
    <x v="3"/>
    <x v="3"/>
    <x v="0"/>
    <x v="2"/>
    <n v="3526"/>
    <n v="2"/>
    <n v="4.8"/>
    <n v="4"/>
    <x v="7"/>
  </r>
  <r>
    <x v="353"/>
    <s v="03/12/2025"/>
    <x v="0"/>
    <x v="15"/>
    <x v="0"/>
    <x v="4"/>
    <x v="1"/>
    <x v="2"/>
    <n v="11008"/>
    <n v="8"/>
    <n v="4.3"/>
    <n v="2"/>
    <x v="8"/>
  </r>
  <r>
    <x v="354"/>
    <s v="04/07/2025"/>
    <x v="3"/>
    <x v="3"/>
    <x v="3"/>
    <x v="0"/>
    <x v="0"/>
    <x v="2"/>
    <n v="20139"/>
    <n v="7"/>
    <n v="3.3"/>
    <n v="2"/>
    <x v="4"/>
  </r>
  <r>
    <x v="355"/>
    <s v="30/09/2025"/>
    <x v="10"/>
    <x v="10"/>
    <x v="0"/>
    <x v="1"/>
    <x v="1"/>
    <x v="2"/>
    <n v="4816"/>
    <n v="7"/>
    <n v="4.3"/>
    <n v="3"/>
    <x v="5"/>
  </r>
  <r>
    <x v="356"/>
    <s v="12/12/2025"/>
    <x v="1"/>
    <x v="6"/>
    <x v="1"/>
    <x v="5"/>
    <x v="1"/>
    <x v="1"/>
    <n v="30040"/>
    <n v="8"/>
    <n v="4.2"/>
    <n v="6"/>
    <x v="8"/>
  </r>
  <r>
    <x v="357"/>
    <s v="16/06/2025"/>
    <x v="5"/>
    <x v="19"/>
    <x v="2"/>
    <x v="5"/>
    <x v="3"/>
    <x v="1"/>
    <n v="269370"/>
    <n v="6"/>
    <n v="4.2"/>
    <n v="4"/>
    <x v="9"/>
  </r>
  <r>
    <x v="358"/>
    <s v="23/07/2025"/>
    <x v="0"/>
    <x v="11"/>
    <x v="3"/>
    <x v="2"/>
    <x v="0"/>
    <x v="0"/>
    <n v="5580"/>
    <n v="1"/>
    <n v="4.0999999999999996"/>
    <n v="5"/>
    <x v="4"/>
  </r>
  <r>
    <x v="359"/>
    <s v="20/12/2025"/>
    <x v="17"/>
    <x v="14"/>
    <x v="2"/>
    <x v="2"/>
    <x v="0"/>
    <x v="0"/>
    <n v="377090"/>
    <n v="5"/>
    <n v="3.5"/>
    <n v="1"/>
    <x v="8"/>
  </r>
  <r>
    <x v="360"/>
    <s v="26/10/2025"/>
    <x v="9"/>
    <x v="16"/>
    <x v="2"/>
    <x v="1"/>
    <x v="3"/>
    <x v="3"/>
    <n v="167444"/>
    <n v="4"/>
    <n v="3.9"/>
    <n v="4"/>
    <x v="1"/>
  </r>
  <r>
    <x v="361"/>
    <s v="20/12/2025"/>
    <x v="18"/>
    <x v="5"/>
    <x v="4"/>
    <x v="2"/>
    <x v="1"/>
    <x v="3"/>
    <n v="2960"/>
    <n v="2"/>
    <n v="3.3"/>
    <n v="1"/>
    <x v="8"/>
  </r>
  <r>
    <x v="362"/>
    <s v="01/12/2025"/>
    <x v="18"/>
    <x v="10"/>
    <x v="0"/>
    <x v="5"/>
    <x v="0"/>
    <x v="0"/>
    <n v="1598"/>
    <n v="1"/>
    <n v="3.3"/>
    <n v="3"/>
    <x v="8"/>
  </r>
  <r>
    <x v="363"/>
    <s v="17/08/2025"/>
    <x v="14"/>
    <x v="15"/>
    <x v="0"/>
    <x v="5"/>
    <x v="2"/>
    <x v="3"/>
    <n v="1508"/>
    <n v="2"/>
    <n v="3.4"/>
    <n v="2"/>
    <x v="3"/>
  </r>
  <r>
    <x v="364"/>
    <s v="24/07/2025"/>
    <x v="6"/>
    <x v="14"/>
    <x v="2"/>
    <x v="4"/>
    <x v="0"/>
    <x v="0"/>
    <n v="141239"/>
    <n v="7"/>
    <n v="3.6"/>
    <n v="7"/>
    <x v="4"/>
  </r>
  <r>
    <x v="365"/>
    <s v="09/08/2025"/>
    <x v="18"/>
    <x v="20"/>
    <x v="0"/>
    <x v="2"/>
    <x v="2"/>
    <x v="1"/>
    <n v="10212"/>
    <n v="6"/>
    <n v="3.9"/>
    <n v="4"/>
    <x v="3"/>
  </r>
  <r>
    <x v="366"/>
    <s v="12/11/2025"/>
    <x v="8"/>
    <x v="13"/>
    <x v="4"/>
    <x v="1"/>
    <x v="2"/>
    <x v="2"/>
    <n v="6776"/>
    <n v="8"/>
    <n v="3.6"/>
    <n v="6"/>
    <x v="11"/>
  </r>
  <r>
    <x v="367"/>
    <s v="14/11/2025"/>
    <x v="18"/>
    <x v="10"/>
    <x v="0"/>
    <x v="4"/>
    <x v="0"/>
    <x v="0"/>
    <n v="2667"/>
    <n v="3"/>
    <n v="4"/>
    <n v="1"/>
    <x v="11"/>
  </r>
  <r>
    <x v="368"/>
    <s v="08/10/2025"/>
    <x v="11"/>
    <x v="6"/>
    <x v="1"/>
    <x v="4"/>
    <x v="2"/>
    <x v="1"/>
    <n v="82808"/>
    <n v="8"/>
    <n v="4.8"/>
    <n v="1"/>
    <x v="1"/>
  </r>
  <r>
    <x v="369"/>
    <s v="28/01/2025"/>
    <x v="7"/>
    <x v="13"/>
    <x v="4"/>
    <x v="0"/>
    <x v="3"/>
    <x v="3"/>
    <n v="2272"/>
    <n v="8"/>
    <n v="3.7"/>
    <n v="6"/>
    <x v="10"/>
  </r>
  <r>
    <x v="370"/>
    <s v="18/09/2025"/>
    <x v="10"/>
    <x v="5"/>
    <x v="4"/>
    <x v="1"/>
    <x v="2"/>
    <x v="2"/>
    <n v="4470"/>
    <n v="2"/>
    <n v="3.5"/>
    <n v="8"/>
    <x v="5"/>
  </r>
  <r>
    <x v="371"/>
    <s v="20/06/2025"/>
    <x v="13"/>
    <x v="13"/>
    <x v="4"/>
    <x v="5"/>
    <x v="3"/>
    <x v="2"/>
    <n v="7144"/>
    <n v="8"/>
    <n v="3.8"/>
    <n v="5"/>
    <x v="9"/>
  </r>
  <r>
    <x v="372"/>
    <s v="16/01/2025"/>
    <x v="12"/>
    <x v="12"/>
    <x v="2"/>
    <x v="1"/>
    <x v="0"/>
    <x v="3"/>
    <n v="236490"/>
    <n v="5"/>
    <n v="3.4"/>
    <n v="7"/>
    <x v="10"/>
  </r>
  <r>
    <x v="373"/>
    <s v="07/08/2025"/>
    <x v="6"/>
    <x v="7"/>
    <x v="4"/>
    <x v="5"/>
    <x v="0"/>
    <x v="0"/>
    <n v="7990"/>
    <n v="5"/>
    <n v="3.6"/>
    <n v="3"/>
    <x v="3"/>
  </r>
  <r>
    <x v="374"/>
    <s v="11/03/2025"/>
    <x v="1"/>
    <x v="19"/>
    <x v="2"/>
    <x v="2"/>
    <x v="0"/>
    <x v="2"/>
    <n v="308798"/>
    <n v="7"/>
    <n v="4.2"/>
    <n v="2"/>
    <x v="6"/>
  </r>
  <r>
    <x v="375"/>
    <s v="30/07/2025"/>
    <x v="4"/>
    <x v="12"/>
    <x v="2"/>
    <x v="5"/>
    <x v="3"/>
    <x v="0"/>
    <n v="112085"/>
    <n v="5"/>
    <n v="3.4"/>
    <n v="1"/>
    <x v="4"/>
  </r>
  <r>
    <x v="376"/>
    <s v="29/04/2025"/>
    <x v="15"/>
    <x v="9"/>
    <x v="1"/>
    <x v="4"/>
    <x v="1"/>
    <x v="3"/>
    <n v="9030"/>
    <n v="1"/>
    <n v="4.7"/>
    <n v="8"/>
    <x v="2"/>
  </r>
  <r>
    <x v="377"/>
    <s v="25/03/2025"/>
    <x v="19"/>
    <x v="18"/>
    <x v="3"/>
    <x v="4"/>
    <x v="2"/>
    <x v="0"/>
    <n v="3288"/>
    <n v="4"/>
    <n v="4.9000000000000004"/>
    <n v="4"/>
    <x v="6"/>
  </r>
  <r>
    <x v="378"/>
    <s v="19/12/2025"/>
    <x v="18"/>
    <x v="11"/>
    <x v="3"/>
    <x v="3"/>
    <x v="2"/>
    <x v="2"/>
    <n v="24096"/>
    <n v="6"/>
    <n v="4.3"/>
    <n v="7"/>
    <x v="8"/>
  </r>
  <r>
    <x v="379"/>
    <s v="22/01/2025"/>
    <x v="19"/>
    <x v="11"/>
    <x v="3"/>
    <x v="2"/>
    <x v="1"/>
    <x v="3"/>
    <n v="4084"/>
    <n v="4"/>
    <n v="3.9"/>
    <n v="1"/>
    <x v="10"/>
  </r>
  <r>
    <x v="380"/>
    <s v="25/08/2025"/>
    <x v="17"/>
    <x v="16"/>
    <x v="2"/>
    <x v="0"/>
    <x v="2"/>
    <x v="0"/>
    <n v="248592"/>
    <n v="3"/>
    <n v="4.8"/>
    <n v="8"/>
    <x v="3"/>
  </r>
  <r>
    <x v="381"/>
    <s v="21/07/2025"/>
    <x v="17"/>
    <x v="9"/>
    <x v="1"/>
    <x v="0"/>
    <x v="3"/>
    <x v="1"/>
    <n v="57631"/>
    <n v="7"/>
    <n v="4.3"/>
    <n v="4"/>
    <x v="4"/>
  </r>
  <r>
    <x v="382"/>
    <s v="16/02/2025"/>
    <x v="5"/>
    <x v="17"/>
    <x v="4"/>
    <x v="5"/>
    <x v="1"/>
    <x v="2"/>
    <n v="4180"/>
    <n v="2"/>
    <n v="4.5"/>
    <n v="3"/>
    <x v="7"/>
  </r>
  <r>
    <x v="383"/>
    <s v="17/10/2025"/>
    <x v="3"/>
    <x v="13"/>
    <x v="4"/>
    <x v="1"/>
    <x v="0"/>
    <x v="2"/>
    <n v="2526"/>
    <n v="3"/>
    <n v="3.8"/>
    <n v="8"/>
    <x v="1"/>
  </r>
  <r>
    <x v="384"/>
    <s v="02/01/2025"/>
    <x v="13"/>
    <x v="7"/>
    <x v="4"/>
    <x v="4"/>
    <x v="1"/>
    <x v="3"/>
    <n v="10640"/>
    <n v="5"/>
    <n v="4.7"/>
    <n v="8"/>
    <x v="10"/>
  </r>
  <r>
    <x v="385"/>
    <s v="10/02/2025"/>
    <x v="2"/>
    <x v="11"/>
    <x v="3"/>
    <x v="4"/>
    <x v="0"/>
    <x v="2"/>
    <n v="5777"/>
    <n v="1"/>
    <n v="4.2"/>
    <n v="4"/>
    <x v="7"/>
  </r>
  <r>
    <x v="386"/>
    <s v="16/03/2025"/>
    <x v="1"/>
    <x v="14"/>
    <x v="2"/>
    <x v="1"/>
    <x v="3"/>
    <x v="0"/>
    <n v="45899"/>
    <n v="1"/>
    <n v="3.4"/>
    <n v="3"/>
    <x v="6"/>
  </r>
  <r>
    <x v="387"/>
    <s v="19/01/2025"/>
    <x v="3"/>
    <x v="4"/>
    <x v="3"/>
    <x v="3"/>
    <x v="0"/>
    <x v="2"/>
    <n v="7608"/>
    <n v="2"/>
    <n v="4.5999999999999996"/>
    <n v="2"/>
    <x v="10"/>
  </r>
  <r>
    <x v="388"/>
    <s v="27/09/2025"/>
    <x v="14"/>
    <x v="16"/>
    <x v="2"/>
    <x v="1"/>
    <x v="3"/>
    <x v="3"/>
    <n v="209300"/>
    <n v="7"/>
    <n v="3.4"/>
    <n v="2"/>
    <x v="5"/>
  </r>
  <r>
    <x v="389"/>
    <s v="13/05/2025"/>
    <x v="4"/>
    <x v="6"/>
    <x v="1"/>
    <x v="4"/>
    <x v="3"/>
    <x v="0"/>
    <n v="53724"/>
    <n v="6"/>
    <n v="4.0999999999999996"/>
    <n v="3"/>
    <x v="0"/>
  </r>
  <r>
    <x v="390"/>
    <s v="13/01/2025"/>
    <x v="15"/>
    <x v="0"/>
    <x v="0"/>
    <x v="5"/>
    <x v="0"/>
    <x v="2"/>
    <n v="12640"/>
    <n v="8"/>
    <n v="3.9"/>
    <n v="6"/>
    <x v="10"/>
  </r>
  <r>
    <x v="391"/>
    <s v="11/05/2025"/>
    <x v="18"/>
    <x v="13"/>
    <x v="4"/>
    <x v="2"/>
    <x v="1"/>
    <x v="2"/>
    <n v="2958"/>
    <n v="2"/>
    <n v="4.5999999999999996"/>
    <n v="2"/>
    <x v="0"/>
  </r>
  <r>
    <x v="392"/>
    <s v="19/06/2025"/>
    <x v="17"/>
    <x v="7"/>
    <x v="4"/>
    <x v="5"/>
    <x v="3"/>
    <x v="3"/>
    <n v="13272"/>
    <n v="6"/>
    <n v="3.4"/>
    <n v="3"/>
    <x v="9"/>
  </r>
  <r>
    <x v="393"/>
    <s v="24/09/2025"/>
    <x v="15"/>
    <x v="3"/>
    <x v="3"/>
    <x v="0"/>
    <x v="0"/>
    <x v="1"/>
    <n v="25445"/>
    <n v="5"/>
    <n v="3.6"/>
    <n v="6"/>
    <x v="5"/>
  </r>
  <r>
    <x v="394"/>
    <s v="12/07/2025"/>
    <x v="18"/>
    <x v="20"/>
    <x v="0"/>
    <x v="1"/>
    <x v="2"/>
    <x v="1"/>
    <n v="4407"/>
    <n v="3"/>
    <n v="4.8"/>
    <n v="5"/>
    <x v="4"/>
  </r>
  <r>
    <x v="395"/>
    <s v="12/09/2025"/>
    <x v="15"/>
    <x v="3"/>
    <x v="3"/>
    <x v="0"/>
    <x v="0"/>
    <x v="2"/>
    <n v="9880"/>
    <n v="4"/>
    <n v="3.7"/>
    <n v="2"/>
    <x v="5"/>
  </r>
  <r>
    <x v="396"/>
    <s v="05/09/2025"/>
    <x v="7"/>
    <x v="3"/>
    <x v="3"/>
    <x v="5"/>
    <x v="0"/>
    <x v="0"/>
    <n v="14967"/>
    <n v="3"/>
    <n v="4.5999999999999996"/>
    <n v="3"/>
    <x v="5"/>
  </r>
  <r>
    <x v="397"/>
    <s v="18/07/2025"/>
    <x v="7"/>
    <x v="15"/>
    <x v="0"/>
    <x v="5"/>
    <x v="3"/>
    <x v="2"/>
    <n v="616"/>
    <n v="2"/>
    <n v="3.8"/>
    <n v="1"/>
    <x v="4"/>
  </r>
  <r>
    <x v="398"/>
    <s v="24/11/2025"/>
    <x v="7"/>
    <x v="6"/>
    <x v="1"/>
    <x v="2"/>
    <x v="0"/>
    <x v="0"/>
    <n v="21328"/>
    <n v="4"/>
    <n v="4.2"/>
    <n v="8"/>
    <x v="11"/>
  </r>
  <r>
    <x v="399"/>
    <s v="08/01/2025"/>
    <x v="6"/>
    <x v="14"/>
    <x v="2"/>
    <x v="4"/>
    <x v="0"/>
    <x v="2"/>
    <n v="96832"/>
    <n v="2"/>
    <n v="3.7"/>
    <n v="5"/>
    <x v="10"/>
  </r>
  <r>
    <x v="400"/>
    <s v="23/06/2025"/>
    <x v="2"/>
    <x v="19"/>
    <x v="2"/>
    <x v="0"/>
    <x v="1"/>
    <x v="3"/>
    <n v="50400"/>
    <n v="8"/>
    <n v="3.3"/>
    <n v="7"/>
    <x v="9"/>
  </r>
  <r>
    <x v="401"/>
    <s v="12/11/2025"/>
    <x v="6"/>
    <x v="5"/>
    <x v="4"/>
    <x v="4"/>
    <x v="2"/>
    <x v="3"/>
    <n v="9666"/>
    <n v="6"/>
    <n v="5"/>
    <n v="8"/>
    <x v="11"/>
  </r>
  <r>
    <x v="402"/>
    <s v="08/06/2025"/>
    <x v="5"/>
    <x v="15"/>
    <x v="0"/>
    <x v="4"/>
    <x v="3"/>
    <x v="1"/>
    <n v="10104"/>
    <n v="8"/>
    <n v="3.7"/>
    <n v="6"/>
    <x v="9"/>
  </r>
  <r>
    <x v="403"/>
    <s v="16/01/2025"/>
    <x v="15"/>
    <x v="11"/>
    <x v="3"/>
    <x v="5"/>
    <x v="0"/>
    <x v="2"/>
    <n v="9242"/>
    <n v="2"/>
    <n v="4.7"/>
    <n v="5"/>
    <x v="10"/>
  </r>
  <r>
    <x v="404"/>
    <s v="16/06/2025"/>
    <x v="10"/>
    <x v="3"/>
    <x v="3"/>
    <x v="4"/>
    <x v="1"/>
    <x v="3"/>
    <n v="7966"/>
    <n v="2"/>
    <n v="3.9"/>
    <n v="4"/>
    <x v="9"/>
  </r>
  <r>
    <x v="405"/>
    <s v="17/04/2025"/>
    <x v="6"/>
    <x v="20"/>
    <x v="0"/>
    <x v="3"/>
    <x v="2"/>
    <x v="3"/>
    <n v="8337"/>
    <n v="7"/>
    <n v="4.4000000000000004"/>
    <n v="2"/>
    <x v="2"/>
  </r>
  <r>
    <x v="406"/>
    <s v="19/02/2025"/>
    <x v="18"/>
    <x v="19"/>
    <x v="2"/>
    <x v="3"/>
    <x v="2"/>
    <x v="2"/>
    <n v="445504"/>
    <n v="8"/>
    <n v="3.4"/>
    <n v="7"/>
    <x v="7"/>
  </r>
  <r>
    <x v="407"/>
    <s v="25/10/2025"/>
    <x v="19"/>
    <x v="7"/>
    <x v="4"/>
    <x v="4"/>
    <x v="3"/>
    <x v="1"/>
    <n v="861"/>
    <n v="1"/>
    <n v="3.9"/>
    <n v="8"/>
    <x v="1"/>
  </r>
  <r>
    <x v="408"/>
    <s v="11/08/2025"/>
    <x v="2"/>
    <x v="6"/>
    <x v="1"/>
    <x v="2"/>
    <x v="2"/>
    <x v="2"/>
    <n v="44532"/>
    <n v="6"/>
    <n v="4.7"/>
    <n v="5"/>
    <x v="3"/>
  </r>
  <r>
    <x v="409"/>
    <s v="26/02/2025"/>
    <x v="5"/>
    <x v="6"/>
    <x v="1"/>
    <x v="3"/>
    <x v="1"/>
    <x v="0"/>
    <n v="36295"/>
    <n v="5"/>
    <n v="4.3"/>
    <n v="7"/>
    <x v="7"/>
  </r>
  <r>
    <x v="410"/>
    <s v="13/03/2025"/>
    <x v="8"/>
    <x v="5"/>
    <x v="4"/>
    <x v="0"/>
    <x v="2"/>
    <x v="2"/>
    <n v="7300"/>
    <n v="4"/>
    <n v="3.7"/>
    <n v="3"/>
    <x v="6"/>
  </r>
  <r>
    <x v="411"/>
    <s v="03/12/2025"/>
    <x v="4"/>
    <x v="5"/>
    <x v="4"/>
    <x v="4"/>
    <x v="1"/>
    <x v="3"/>
    <n v="4172"/>
    <n v="7"/>
    <n v="4.7"/>
    <n v="7"/>
    <x v="8"/>
  </r>
  <r>
    <x v="412"/>
    <s v="16/07/2025"/>
    <x v="12"/>
    <x v="8"/>
    <x v="1"/>
    <x v="2"/>
    <x v="1"/>
    <x v="1"/>
    <n v="5526"/>
    <n v="6"/>
    <n v="4.2"/>
    <n v="4"/>
    <x v="4"/>
  </r>
  <r>
    <x v="413"/>
    <s v="18/10/2025"/>
    <x v="8"/>
    <x v="0"/>
    <x v="0"/>
    <x v="1"/>
    <x v="3"/>
    <x v="3"/>
    <n v="13944"/>
    <n v="8"/>
    <n v="4.9000000000000004"/>
    <n v="2"/>
    <x v="1"/>
  </r>
  <r>
    <x v="414"/>
    <s v="25/09/2025"/>
    <x v="4"/>
    <x v="1"/>
    <x v="1"/>
    <x v="0"/>
    <x v="3"/>
    <x v="2"/>
    <n v="19268"/>
    <n v="2"/>
    <n v="4.5999999999999996"/>
    <n v="5"/>
    <x v="5"/>
  </r>
  <r>
    <x v="415"/>
    <s v="20/09/2025"/>
    <x v="4"/>
    <x v="11"/>
    <x v="3"/>
    <x v="1"/>
    <x v="3"/>
    <x v="1"/>
    <n v="28728"/>
    <n v="8"/>
    <n v="3.7"/>
    <n v="1"/>
    <x v="5"/>
  </r>
  <r>
    <x v="416"/>
    <s v="24/10/2025"/>
    <x v="8"/>
    <x v="15"/>
    <x v="0"/>
    <x v="5"/>
    <x v="2"/>
    <x v="1"/>
    <n v="4419"/>
    <n v="3"/>
    <n v="3.7"/>
    <n v="2"/>
    <x v="1"/>
  </r>
  <r>
    <x v="417"/>
    <s v="12/11/2025"/>
    <x v="17"/>
    <x v="2"/>
    <x v="2"/>
    <x v="2"/>
    <x v="0"/>
    <x v="1"/>
    <n v="21805"/>
    <n v="5"/>
    <n v="3.5"/>
    <n v="3"/>
    <x v="11"/>
  </r>
  <r>
    <x v="418"/>
    <s v="03/04/2025"/>
    <x v="5"/>
    <x v="5"/>
    <x v="4"/>
    <x v="4"/>
    <x v="1"/>
    <x v="0"/>
    <n v="595"/>
    <n v="1"/>
    <n v="4.7"/>
    <n v="7"/>
    <x v="2"/>
  </r>
  <r>
    <x v="419"/>
    <s v="28/01/2025"/>
    <x v="10"/>
    <x v="13"/>
    <x v="4"/>
    <x v="4"/>
    <x v="1"/>
    <x v="3"/>
    <n v="2325"/>
    <n v="5"/>
    <n v="4.0999999999999996"/>
    <n v="8"/>
    <x v="10"/>
  </r>
  <r>
    <x v="420"/>
    <s v="16/03/2025"/>
    <x v="7"/>
    <x v="4"/>
    <x v="3"/>
    <x v="5"/>
    <x v="3"/>
    <x v="3"/>
    <n v="26803"/>
    <n v="7"/>
    <n v="3.8"/>
    <n v="1"/>
    <x v="6"/>
  </r>
  <r>
    <x v="421"/>
    <s v="21/06/2025"/>
    <x v="6"/>
    <x v="6"/>
    <x v="1"/>
    <x v="4"/>
    <x v="3"/>
    <x v="0"/>
    <n v="36040"/>
    <n v="5"/>
    <n v="4"/>
    <n v="4"/>
    <x v="9"/>
  </r>
  <r>
    <x v="422"/>
    <s v="06/01/2025"/>
    <x v="15"/>
    <x v="19"/>
    <x v="2"/>
    <x v="4"/>
    <x v="3"/>
    <x v="1"/>
    <n v="56403"/>
    <n v="1"/>
    <n v="3.4"/>
    <n v="8"/>
    <x v="10"/>
  </r>
  <r>
    <x v="423"/>
    <s v="13/01/2025"/>
    <x v="9"/>
    <x v="17"/>
    <x v="4"/>
    <x v="5"/>
    <x v="0"/>
    <x v="3"/>
    <n v="2276"/>
    <n v="2"/>
    <n v="4.5"/>
    <n v="2"/>
    <x v="10"/>
  </r>
  <r>
    <x v="424"/>
    <s v="26/02/2025"/>
    <x v="16"/>
    <x v="9"/>
    <x v="1"/>
    <x v="1"/>
    <x v="3"/>
    <x v="1"/>
    <n v="33795"/>
    <n v="3"/>
    <n v="4"/>
    <n v="5"/>
    <x v="7"/>
  </r>
  <r>
    <x v="425"/>
    <s v="22/05/2025"/>
    <x v="1"/>
    <x v="17"/>
    <x v="4"/>
    <x v="3"/>
    <x v="2"/>
    <x v="3"/>
    <n v="1841"/>
    <n v="1"/>
    <n v="4.9000000000000004"/>
    <n v="5"/>
    <x v="0"/>
  </r>
  <r>
    <x v="426"/>
    <s v="02/04/2025"/>
    <x v="17"/>
    <x v="5"/>
    <x v="4"/>
    <x v="1"/>
    <x v="3"/>
    <x v="2"/>
    <n v="6712"/>
    <n v="8"/>
    <n v="4.3"/>
    <n v="2"/>
    <x v="2"/>
  </r>
  <r>
    <x v="427"/>
    <s v="06/02/2025"/>
    <x v="5"/>
    <x v="0"/>
    <x v="0"/>
    <x v="2"/>
    <x v="0"/>
    <x v="1"/>
    <n v="6065"/>
    <n v="5"/>
    <n v="4.4000000000000004"/>
    <n v="1"/>
    <x v="7"/>
  </r>
  <r>
    <x v="428"/>
    <s v="21/09/2025"/>
    <x v="14"/>
    <x v="3"/>
    <x v="3"/>
    <x v="0"/>
    <x v="3"/>
    <x v="1"/>
    <n v="10192"/>
    <n v="8"/>
    <n v="3.6"/>
    <n v="7"/>
    <x v="5"/>
  </r>
  <r>
    <x v="429"/>
    <s v="29/01/2025"/>
    <x v="19"/>
    <x v="12"/>
    <x v="2"/>
    <x v="4"/>
    <x v="2"/>
    <x v="3"/>
    <n v="94144"/>
    <n v="2"/>
    <n v="4.5999999999999996"/>
    <n v="5"/>
    <x v="10"/>
  </r>
  <r>
    <x v="430"/>
    <s v="23/12/2025"/>
    <x v="8"/>
    <x v="13"/>
    <x v="4"/>
    <x v="0"/>
    <x v="0"/>
    <x v="2"/>
    <n v="12047"/>
    <n v="7"/>
    <n v="4"/>
    <n v="4"/>
    <x v="8"/>
  </r>
  <r>
    <x v="431"/>
    <s v="08/09/2025"/>
    <x v="0"/>
    <x v="9"/>
    <x v="1"/>
    <x v="0"/>
    <x v="3"/>
    <x v="2"/>
    <n v="66836"/>
    <n v="7"/>
    <n v="4.9000000000000004"/>
    <n v="8"/>
    <x v="5"/>
  </r>
  <r>
    <x v="432"/>
    <s v="27/07/2025"/>
    <x v="9"/>
    <x v="14"/>
    <x v="2"/>
    <x v="0"/>
    <x v="0"/>
    <x v="3"/>
    <n v="125158"/>
    <n v="2"/>
    <n v="4.5"/>
    <n v="4"/>
    <x v="4"/>
  </r>
  <r>
    <x v="433"/>
    <s v="13/11/2025"/>
    <x v="7"/>
    <x v="15"/>
    <x v="0"/>
    <x v="3"/>
    <x v="0"/>
    <x v="2"/>
    <n v="797"/>
    <n v="1"/>
    <n v="3.3"/>
    <n v="5"/>
    <x v="11"/>
  </r>
  <r>
    <x v="434"/>
    <s v="12/09/2025"/>
    <x v="6"/>
    <x v="0"/>
    <x v="0"/>
    <x v="5"/>
    <x v="0"/>
    <x v="1"/>
    <n v="1716"/>
    <n v="4"/>
    <n v="3.9"/>
    <n v="2"/>
    <x v="5"/>
  </r>
  <r>
    <x v="435"/>
    <s v="31/10/2025"/>
    <x v="15"/>
    <x v="17"/>
    <x v="4"/>
    <x v="5"/>
    <x v="0"/>
    <x v="3"/>
    <n v="1524"/>
    <n v="3"/>
    <n v="4.5999999999999996"/>
    <n v="3"/>
    <x v="1"/>
  </r>
  <r>
    <x v="436"/>
    <s v="10/03/2025"/>
    <x v="1"/>
    <x v="17"/>
    <x v="4"/>
    <x v="0"/>
    <x v="3"/>
    <x v="3"/>
    <n v="3580"/>
    <n v="2"/>
    <n v="3.3"/>
    <n v="1"/>
    <x v="6"/>
  </r>
  <r>
    <x v="437"/>
    <s v="16/04/2025"/>
    <x v="4"/>
    <x v="18"/>
    <x v="3"/>
    <x v="1"/>
    <x v="2"/>
    <x v="0"/>
    <n v="13167"/>
    <n v="3"/>
    <n v="3.6"/>
    <n v="3"/>
    <x v="2"/>
  </r>
  <r>
    <x v="438"/>
    <s v="18/11/2025"/>
    <x v="4"/>
    <x v="3"/>
    <x v="3"/>
    <x v="2"/>
    <x v="0"/>
    <x v="3"/>
    <n v="26340"/>
    <n v="5"/>
    <n v="3.5"/>
    <n v="2"/>
    <x v="11"/>
  </r>
  <r>
    <x v="439"/>
    <s v="28/01/2025"/>
    <x v="2"/>
    <x v="13"/>
    <x v="4"/>
    <x v="1"/>
    <x v="3"/>
    <x v="1"/>
    <n v="3444"/>
    <n v="4"/>
    <n v="3.5"/>
    <n v="1"/>
    <x v="10"/>
  </r>
  <r>
    <x v="440"/>
    <s v="09/05/2025"/>
    <x v="1"/>
    <x v="5"/>
    <x v="4"/>
    <x v="0"/>
    <x v="1"/>
    <x v="2"/>
    <n v="12636"/>
    <n v="6"/>
    <n v="4.9000000000000004"/>
    <n v="3"/>
    <x v="0"/>
  </r>
  <r>
    <x v="441"/>
    <s v="16/08/2025"/>
    <x v="13"/>
    <x v="10"/>
    <x v="0"/>
    <x v="1"/>
    <x v="1"/>
    <x v="0"/>
    <n v="6948"/>
    <n v="6"/>
    <n v="3.8"/>
    <n v="2"/>
    <x v="3"/>
  </r>
  <r>
    <x v="442"/>
    <s v="07/02/2025"/>
    <x v="1"/>
    <x v="18"/>
    <x v="3"/>
    <x v="3"/>
    <x v="3"/>
    <x v="0"/>
    <n v="34160"/>
    <n v="8"/>
    <n v="3.6"/>
    <n v="8"/>
    <x v="7"/>
  </r>
  <r>
    <x v="443"/>
    <s v="20/11/2025"/>
    <x v="11"/>
    <x v="18"/>
    <x v="3"/>
    <x v="4"/>
    <x v="2"/>
    <x v="3"/>
    <n v="10452"/>
    <n v="6"/>
    <n v="4.4000000000000004"/>
    <n v="1"/>
    <x v="11"/>
  </r>
  <r>
    <x v="444"/>
    <s v="29/03/2025"/>
    <x v="6"/>
    <x v="11"/>
    <x v="3"/>
    <x v="5"/>
    <x v="0"/>
    <x v="2"/>
    <n v="11904"/>
    <n v="6"/>
    <n v="4.9000000000000004"/>
    <n v="3"/>
    <x v="6"/>
  </r>
  <r>
    <x v="445"/>
    <s v="21/04/2025"/>
    <x v="6"/>
    <x v="11"/>
    <x v="3"/>
    <x v="4"/>
    <x v="0"/>
    <x v="2"/>
    <n v="33656"/>
    <n v="8"/>
    <n v="3.6"/>
    <n v="7"/>
    <x v="2"/>
  </r>
  <r>
    <x v="446"/>
    <s v="21/01/2025"/>
    <x v="17"/>
    <x v="3"/>
    <x v="3"/>
    <x v="3"/>
    <x v="0"/>
    <x v="2"/>
    <n v="40400"/>
    <n v="8"/>
    <n v="4.0999999999999996"/>
    <n v="2"/>
    <x v="10"/>
  </r>
  <r>
    <x v="447"/>
    <s v="21/12/2025"/>
    <x v="0"/>
    <x v="1"/>
    <x v="1"/>
    <x v="3"/>
    <x v="3"/>
    <x v="0"/>
    <n v="33012"/>
    <n v="7"/>
    <n v="4.4000000000000004"/>
    <n v="2"/>
    <x v="8"/>
  </r>
  <r>
    <x v="448"/>
    <s v="21/08/2025"/>
    <x v="9"/>
    <x v="3"/>
    <x v="3"/>
    <x v="3"/>
    <x v="3"/>
    <x v="2"/>
    <n v="29872"/>
    <n v="8"/>
    <n v="4"/>
    <n v="1"/>
    <x v="3"/>
  </r>
  <r>
    <x v="449"/>
    <s v="19/05/2025"/>
    <x v="2"/>
    <x v="12"/>
    <x v="2"/>
    <x v="0"/>
    <x v="1"/>
    <x v="1"/>
    <n v="335296"/>
    <n v="4"/>
    <n v="4.0999999999999996"/>
    <n v="6"/>
    <x v="0"/>
  </r>
  <r>
    <x v="450"/>
    <s v="07/07/2025"/>
    <x v="10"/>
    <x v="3"/>
    <x v="3"/>
    <x v="0"/>
    <x v="1"/>
    <x v="0"/>
    <n v="14262"/>
    <n v="6"/>
    <n v="5"/>
    <n v="4"/>
    <x v="4"/>
  </r>
  <r>
    <x v="451"/>
    <s v="30/06/2025"/>
    <x v="14"/>
    <x v="13"/>
    <x v="4"/>
    <x v="5"/>
    <x v="2"/>
    <x v="3"/>
    <n v="9910"/>
    <n v="5"/>
    <n v="3.9"/>
    <n v="8"/>
    <x v="9"/>
  </r>
  <r>
    <x v="452"/>
    <s v="20/08/2025"/>
    <x v="3"/>
    <x v="6"/>
    <x v="1"/>
    <x v="0"/>
    <x v="2"/>
    <x v="0"/>
    <n v="13380"/>
    <n v="6"/>
    <n v="3.3"/>
    <n v="3"/>
    <x v="3"/>
  </r>
  <r>
    <x v="453"/>
    <s v="23/12/2025"/>
    <x v="10"/>
    <x v="14"/>
    <x v="2"/>
    <x v="4"/>
    <x v="1"/>
    <x v="1"/>
    <n v="87816"/>
    <n v="3"/>
    <n v="3.2"/>
    <n v="7"/>
    <x v="8"/>
  </r>
  <r>
    <x v="454"/>
    <s v="27/11/2025"/>
    <x v="16"/>
    <x v="11"/>
    <x v="3"/>
    <x v="5"/>
    <x v="3"/>
    <x v="1"/>
    <n v="880"/>
    <n v="1"/>
    <n v="4.7"/>
    <n v="6"/>
    <x v="11"/>
  </r>
  <r>
    <x v="455"/>
    <s v="23/08/2025"/>
    <x v="3"/>
    <x v="11"/>
    <x v="3"/>
    <x v="0"/>
    <x v="0"/>
    <x v="1"/>
    <n v="10530"/>
    <n v="5"/>
    <n v="3.6"/>
    <n v="6"/>
    <x v="3"/>
  </r>
  <r>
    <x v="456"/>
    <s v="27/03/2025"/>
    <x v="1"/>
    <x v="12"/>
    <x v="2"/>
    <x v="4"/>
    <x v="2"/>
    <x v="2"/>
    <n v="119661"/>
    <n v="3"/>
    <n v="4.7"/>
    <n v="3"/>
    <x v="6"/>
  </r>
  <r>
    <x v="457"/>
    <s v="06/03/2025"/>
    <x v="15"/>
    <x v="19"/>
    <x v="2"/>
    <x v="4"/>
    <x v="3"/>
    <x v="3"/>
    <n v="213456"/>
    <n v="8"/>
    <n v="4.5"/>
    <n v="6"/>
    <x v="6"/>
  </r>
  <r>
    <x v="458"/>
    <s v="01/10/2025"/>
    <x v="8"/>
    <x v="9"/>
    <x v="1"/>
    <x v="0"/>
    <x v="3"/>
    <x v="1"/>
    <n v="15905"/>
    <n v="5"/>
    <n v="4.9000000000000004"/>
    <n v="6"/>
    <x v="1"/>
  </r>
  <r>
    <x v="459"/>
    <s v="21/10/2025"/>
    <x v="10"/>
    <x v="4"/>
    <x v="3"/>
    <x v="0"/>
    <x v="3"/>
    <x v="2"/>
    <n v="4860"/>
    <n v="3"/>
    <n v="4.8"/>
    <n v="3"/>
    <x v="1"/>
  </r>
  <r>
    <x v="460"/>
    <s v="17/08/2025"/>
    <x v="11"/>
    <x v="18"/>
    <x v="3"/>
    <x v="4"/>
    <x v="2"/>
    <x v="2"/>
    <n v="34086"/>
    <n v="6"/>
    <n v="3.6"/>
    <n v="4"/>
    <x v="3"/>
  </r>
  <r>
    <x v="461"/>
    <s v="13/12/2025"/>
    <x v="15"/>
    <x v="8"/>
    <x v="1"/>
    <x v="3"/>
    <x v="0"/>
    <x v="3"/>
    <n v="12012"/>
    <n v="2"/>
    <n v="4.3"/>
    <n v="1"/>
    <x v="8"/>
  </r>
  <r>
    <x v="462"/>
    <s v="10/07/2025"/>
    <x v="19"/>
    <x v="12"/>
    <x v="2"/>
    <x v="1"/>
    <x v="1"/>
    <x v="3"/>
    <n v="48552"/>
    <n v="1"/>
    <n v="4.8"/>
    <n v="2"/>
    <x v="4"/>
  </r>
  <r>
    <x v="463"/>
    <s v="25/03/2025"/>
    <x v="3"/>
    <x v="4"/>
    <x v="3"/>
    <x v="3"/>
    <x v="3"/>
    <x v="2"/>
    <n v="38570"/>
    <n v="7"/>
    <n v="3.4"/>
    <n v="4"/>
    <x v="6"/>
  </r>
  <r>
    <x v="464"/>
    <s v="15/02/2025"/>
    <x v="19"/>
    <x v="8"/>
    <x v="1"/>
    <x v="4"/>
    <x v="1"/>
    <x v="1"/>
    <n v="9906"/>
    <n v="1"/>
    <n v="4"/>
    <n v="3"/>
    <x v="7"/>
  </r>
  <r>
    <x v="465"/>
    <s v="22/01/2025"/>
    <x v="8"/>
    <x v="8"/>
    <x v="1"/>
    <x v="2"/>
    <x v="3"/>
    <x v="3"/>
    <n v="41965"/>
    <n v="5"/>
    <n v="3.6"/>
    <n v="1"/>
    <x v="10"/>
  </r>
  <r>
    <x v="466"/>
    <s v="02/08/2025"/>
    <x v="4"/>
    <x v="20"/>
    <x v="0"/>
    <x v="1"/>
    <x v="3"/>
    <x v="3"/>
    <n v="3921"/>
    <n v="3"/>
    <n v="4.0999999999999996"/>
    <n v="2"/>
    <x v="3"/>
  </r>
  <r>
    <x v="467"/>
    <s v="13/05/2025"/>
    <x v="1"/>
    <x v="8"/>
    <x v="1"/>
    <x v="5"/>
    <x v="2"/>
    <x v="0"/>
    <n v="81800"/>
    <n v="8"/>
    <n v="3.2"/>
    <n v="5"/>
    <x v="0"/>
  </r>
  <r>
    <x v="468"/>
    <s v="21/12/2025"/>
    <x v="2"/>
    <x v="12"/>
    <x v="2"/>
    <x v="2"/>
    <x v="3"/>
    <x v="2"/>
    <n v="28296"/>
    <n v="3"/>
    <n v="4"/>
    <n v="6"/>
    <x v="8"/>
  </r>
  <r>
    <x v="469"/>
    <s v="18/11/2025"/>
    <x v="11"/>
    <x v="9"/>
    <x v="1"/>
    <x v="1"/>
    <x v="3"/>
    <x v="2"/>
    <n v="17940"/>
    <n v="3"/>
    <n v="4.7"/>
    <n v="5"/>
    <x v="11"/>
  </r>
  <r>
    <x v="470"/>
    <s v="15/03/2025"/>
    <x v="7"/>
    <x v="6"/>
    <x v="1"/>
    <x v="4"/>
    <x v="0"/>
    <x v="0"/>
    <n v="8744"/>
    <n v="1"/>
    <n v="3.9"/>
    <n v="3"/>
    <x v="6"/>
  </r>
  <r>
    <x v="471"/>
    <s v="02/08/2025"/>
    <x v="8"/>
    <x v="17"/>
    <x v="4"/>
    <x v="3"/>
    <x v="3"/>
    <x v="0"/>
    <n v="5816"/>
    <n v="8"/>
    <n v="3.8"/>
    <n v="6"/>
    <x v="3"/>
  </r>
  <r>
    <x v="472"/>
    <s v="02/03/2025"/>
    <x v="16"/>
    <x v="14"/>
    <x v="2"/>
    <x v="1"/>
    <x v="2"/>
    <x v="2"/>
    <n v="128788"/>
    <n v="4"/>
    <n v="3.6"/>
    <n v="2"/>
    <x v="6"/>
  </r>
  <r>
    <x v="473"/>
    <s v="09/08/2025"/>
    <x v="11"/>
    <x v="15"/>
    <x v="0"/>
    <x v="0"/>
    <x v="2"/>
    <x v="1"/>
    <n v="702"/>
    <n v="1"/>
    <n v="3.3"/>
    <n v="2"/>
    <x v="3"/>
  </r>
  <r>
    <x v="474"/>
    <s v="05/03/2025"/>
    <x v="6"/>
    <x v="0"/>
    <x v="0"/>
    <x v="2"/>
    <x v="3"/>
    <x v="0"/>
    <n v="6012"/>
    <n v="4"/>
    <n v="3.4"/>
    <n v="5"/>
    <x v="6"/>
  </r>
  <r>
    <x v="475"/>
    <s v="16/09/2025"/>
    <x v="10"/>
    <x v="9"/>
    <x v="1"/>
    <x v="0"/>
    <x v="2"/>
    <x v="0"/>
    <n v="7876"/>
    <n v="2"/>
    <n v="4.9000000000000004"/>
    <n v="3"/>
    <x v="5"/>
  </r>
  <r>
    <x v="476"/>
    <s v="07/07/2025"/>
    <x v="16"/>
    <x v="8"/>
    <x v="1"/>
    <x v="0"/>
    <x v="3"/>
    <x v="2"/>
    <n v="21057"/>
    <n v="3"/>
    <n v="4"/>
    <n v="4"/>
    <x v="4"/>
  </r>
  <r>
    <x v="477"/>
    <s v="24/09/2025"/>
    <x v="7"/>
    <x v="3"/>
    <x v="3"/>
    <x v="3"/>
    <x v="3"/>
    <x v="3"/>
    <n v="15792"/>
    <n v="3"/>
    <n v="3.3"/>
    <n v="8"/>
    <x v="5"/>
  </r>
  <r>
    <x v="478"/>
    <s v="18/12/2025"/>
    <x v="15"/>
    <x v="6"/>
    <x v="1"/>
    <x v="4"/>
    <x v="2"/>
    <x v="3"/>
    <n v="31144"/>
    <n v="8"/>
    <n v="4.7"/>
    <n v="8"/>
    <x v="8"/>
  </r>
  <r>
    <x v="479"/>
    <s v="13/08/2025"/>
    <x v="9"/>
    <x v="15"/>
    <x v="0"/>
    <x v="2"/>
    <x v="0"/>
    <x v="1"/>
    <n v="1088"/>
    <n v="2"/>
    <n v="5"/>
    <n v="3"/>
    <x v="3"/>
  </r>
  <r>
    <x v="480"/>
    <s v="04/03/2025"/>
    <x v="15"/>
    <x v="5"/>
    <x v="4"/>
    <x v="3"/>
    <x v="1"/>
    <x v="3"/>
    <n v="9176"/>
    <n v="4"/>
    <n v="3.7"/>
    <n v="7"/>
    <x v="6"/>
  </r>
  <r>
    <x v="481"/>
    <s v="17/03/2025"/>
    <x v="0"/>
    <x v="6"/>
    <x v="1"/>
    <x v="0"/>
    <x v="2"/>
    <x v="2"/>
    <n v="71576"/>
    <n v="8"/>
    <n v="3.6"/>
    <n v="3"/>
    <x v="6"/>
  </r>
  <r>
    <x v="482"/>
    <s v="02/04/2025"/>
    <x v="12"/>
    <x v="3"/>
    <x v="3"/>
    <x v="3"/>
    <x v="1"/>
    <x v="0"/>
    <n v="22260"/>
    <n v="7"/>
    <n v="4.3"/>
    <n v="2"/>
    <x v="2"/>
  </r>
  <r>
    <x v="483"/>
    <s v="09/09/2025"/>
    <x v="16"/>
    <x v="12"/>
    <x v="2"/>
    <x v="0"/>
    <x v="1"/>
    <x v="3"/>
    <n v="366740"/>
    <n v="5"/>
    <n v="4.9000000000000004"/>
    <n v="1"/>
    <x v="5"/>
  </r>
  <r>
    <x v="484"/>
    <s v="15/08/2025"/>
    <x v="1"/>
    <x v="12"/>
    <x v="2"/>
    <x v="3"/>
    <x v="1"/>
    <x v="0"/>
    <n v="205456"/>
    <n v="8"/>
    <n v="4.7"/>
    <n v="5"/>
    <x v="3"/>
  </r>
  <r>
    <x v="485"/>
    <s v="07/09/2025"/>
    <x v="12"/>
    <x v="12"/>
    <x v="2"/>
    <x v="0"/>
    <x v="1"/>
    <x v="1"/>
    <n v="150170"/>
    <n v="2"/>
    <n v="4"/>
    <n v="3"/>
    <x v="5"/>
  </r>
  <r>
    <x v="486"/>
    <s v="12/11/2025"/>
    <x v="15"/>
    <x v="11"/>
    <x v="3"/>
    <x v="1"/>
    <x v="2"/>
    <x v="1"/>
    <n v="5580"/>
    <n v="6"/>
    <n v="3.3"/>
    <n v="6"/>
    <x v="11"/>
  </r>
  <r>
    <x v="487"/>
    <s v="08/08/2025"/>
    <x v="3"/>
    <x v="3"/>
    <x v="3"/>
    <x v="5"/>
    <x v="2"/>
    <x v="2"/>
    <n v="6972"/>
    <n v="6"/>
    <n v="3.6"/>
    <n v="4"/>
    <x v="3"/>
  </r>
  <r>
    <x v="488"/>
    <s v="22/06/2025"/>
    <x v="6"/>
    <x v="14"/>
    <x v="2"/>
    <x v="5"/>
    <x v="1"/>
    <x v="1"/>
    <n v="135732"/>
    <n v="3"/>
    <n v="4.4000000000000004"/>
    <n v="7"/>
    <x v="9"/>
  </r>
  <r>
    <x v="489"/>
    <s v="29/10/2025"/>
    <x v="7"/>
    <x v="15"/>
    <x v="0"/>
    <x v="1"/>
    <x v="0"/>
    <x v="1"/>
    <n v="948"/>
    <n v="1"/>
    <n v="4.2"/>
    <n v="8"/>
    <x v="1"/>
  </r>
  <r>
    <x v="490"/>
    <s v="27/03/2025"/>
    <x v="10"/>
    <x v="4"/>
    <x v="3"/>
    <x v="4"/>
    <x v="3"/>
    <x v="1"/>
    <n v="23855"/>
    <n v="5"/>
    <n v="4.7"/>
    <n v="2"/>
    <x v="6"/>
  </r>
  <r>
    <x v="491"/>
    <s v="21/10/2025"/>
    <x v="6"/>
    <x v="20"/>
    <x v="0"/>
    <x v="5"/>
    <x v="1"/>
    <x v="3"/>
    <n v="5334"/>
    <n v="7"/>
    <n v="3.8"/>
    <n v="2"/>
    <x v="1"/>
  </r>
  <r>
    <x v="492"/>
    <s v="09/02/2025"/>
    <x v="11"/>
    <x v="13"/>
    <x v="4"/>
    <x v="5"/>
    <x v="1"/>
    <x v="0"/>
    <n v="7390"/>
    <n v="5"/>
    <n v="3.6"/>
    <n v="7"/>
    <x v="7"/>
  </r>
  <r>
    <x v="493"/>
    <s v="23/10/2025"/>
    <x v="6"/>
    <x v="10"/>
    <x v="0"/>
    <x v="1"/>
    <x v="2"/>
    <x v="0"/>
    <n v="5888"/>
    <n v="8"/>
    <n v="4.7"/>
    <n v="7"/>
    <x v="1"/>
  </r>
  <r>
    <x v="494"/>
    <s v="17/03/2025"/>
    <x v="19"/>
    <x v="12"/>
    <x v="2"/>
    <x v="3"/>
    <x v="3"/>
    <x v="1"/>
    <n v="238268"/>
    <n v="4"/>
    <n v="4.7"/>
    <n v="2"/>
    <x v="6"/>
  </r>
  <r>
    <x v="495"/>
    <s v="18/12/2025"/>
    <x v="17"/>
    <x v="13"/>
    <x v="4"/>
    <x v="3"/>
    <x v="1"/>
    <x v="3"/>
    <n v="4904"/>
    <n v="4"/>
    <n v="3.2"/>
    <n v="5"/>
    <x v="8"/>
  </r>
  <r>
    <x v="496"/>
    <s v="23/03/2025"/>
    <x v="14"/>
    <x v="10"/>
    <x v="0"/>
    <x v="0"/>
    <x v="2"/>
    <x v="2"/>
    <n v="2895"/>
    <n v="5"/>
    <n v="4.2"/>
    <n v="1"/>
    <x v="6"/>
  </r>
  <r>
    <x v="497"/>
    <s v="02/06/2025"/>
    <x v="12"/>
    <x v="19"/>
    <x v="2"/>
    <x v="1"/>
    <x v="3"/>
    <x v="3"/>
    <n v="28672"/>
    <n v="2"/>
    <n v="3.6"/>
    <n v="2"/>
    <x v="9"/>
  </r>
  <r>
    <x v="498"/>
    <s v="04/11/2025"/>
    <x v="8"/>
    <x v="10"/>
    <x v="0"/>
    <x v="0"/>
    <x v="0"/>
    <x v="0"/>
    <n v="1882"/>
    <n v="2"/>
    <n v="4.9000000000000004"/>
    <n v="4"/>
    <x v="11"/>
  </r>
  <r>
    <x v="499"/>
    <s v="29/07/2025"/>
    <x v="18"/>
    <x v="12"/>
    <x v="2"/>
    <x v="5"/>
    <x v="1"/>
    <x v="3"/>
    <n v="333860"/>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3:B8" firstHeaderRow="1" firstDataRow="1" firstDataCol="1"/>
  <pivotFields count="13">
    <pivotField dataField="1"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Average of Rating" fld="10" subtotal="average" baseField="0" baseItem="1"/>
    <dataField name="Count of Order_ID" fld="0" subtotal="count" baseField="0" baseItem="0"/>
    <dataField name="Sum of Quantity" fld="9" baseField="0" baseItem="0"/>
    <dataField name="Average of Delivery" fld="11" subtotal="average" baseField="0" baseItem="1"/>
    <dataField name="Total Sales" fld="8" baseField="0" baseItem="0"/>
  </dataFields>
  <formats count="8">
    <format dxfId="451">
      <pivotArea collapsedLevelsAreSubtotals="1" fieldPosition="0">
        <references count="1">
          <reference field="4294967294" count="1">
            <x v="0"/>
          </reference>
        </references>
      </pivotArea>
    </format>
    <format dxfId="450">
      <pivotArea collapsedLevelsAreSubtotals="1" fieldPosition="0">
        <references count="1">
          <reference field="4294967294" count="1">
            <x v="4"/>
          </reference>
        </references>
      </pivotArea>
    </format>
    <format dxfId="449">
      <pivotArea collapsedLevelsAreSubtotals="1" fieldPosition="0">
        <references count="1">
          <reference field="4294967294" count="1">
            <x v="4"/>
          </reference>
        </references>
      </pivotArea>
    </format>
    <format dxfId="448">
      <pivotArea collapsedLevelsAreSubtotals="1" fieldPosition="0">
        <references count="1">
          <reference field="4294967294" count="1">
            <x v="3"/>
          </reference>
        </references>
      </pivotArea>
    </format>
    <format dxfId="447">
      <pivotArea collapsedLevelsAreSubtotals="1" fieldPosition="0">
        <references count="1">
          <reference field="4294967294" count="1">
            <x v="2"/>
          </reference>
        </references>
      </pivotArea>
    </format>
    <format dxfId="446">
      <pivotArea collapsedLevelsAreSubtotals="1" fieldPosition="0">
        <references count="1">
          <reference field="4294967294" count="1">
            <x v="2"/>
          </reference>
        </references>
      </pivotArea>
    </format>
    <format dxfId="445">
      <pivotArea collapsedLevelsAreSubtotals="1" fieldPosition="0">
        <references count="1">
          <reference field="4294967294" count="1">
            <x v="2"/>
          </reference>
        </references>
      </pivotArea>
    </format>
    <format dxfId="444">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9" dataOnRows="1" applyNumberFormats="0" applyBorderFormats="0" applyFontFormats="0" applyPatternFormats="0" applyAlignmentFormats="0" applyWidthHeightFormats="1" dataCaption="Values" updatedVersion="6" minRefreshableVersion="3" itemPrintTitles="1" createdVersion="6" indent="0" compact="0" compactData="0" gridDropZones="1" multipleFieldFilters="0">
  <location ref="P3:T505"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measureFilter="1"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2"/>
    <field x="3"/>
    <field x="4"/>
  </rowFields>
  <rowItems count="501">
    <i>
      <x/>
      <x v="15"/>
      <x v="16"/>
      <x/>
    </i>
    <i>
      <x v="1"/>
      <x v="6"/>
      <x v="3"/>
      <x v="4"/>
    </i>
    <i>
      <x v="2"/>
      <x v="10"/>
      <x v="6"/>
      <x v="2"/>
    </i>
    <i>
      <x v="3"/>
      <x v="13"/>
      <x v="17"/>
      <x v="3"/>
    </i>
    <i>
      <x v="4"/>
      <x/>
      <x v="7"/>
      <x v="3"/>
    </i>
    <i>
      <x v="5"/>
      <x v="3"/>
      <x v="2"/>
      <x v="1"/>
    </i>
    <i>
      <x v="6"/>
      <x v="5"/>
      <x v="1"/>
      <x v="4"/>
    </i>
    <i>
      <x v="7"/>
      <x/>
      <x v="15"/>
      <x v="1"/>
    </i>
    <i>
      <x v="8"/>
      <x v="4"/>
      <x v="8"/>
      <x v="4"/>
    </i>
    <i>
      <x v="9"/>
      <x v="1"/>
      <x v="17"/>
      <x v="3"/>
    </i>
    <i>
      <x v="10"/>
      <x v="19"/>
      <x v="1"/>
      <x v="4"/>
    </i>
    <i>
      <x v="11"/>
      <x v="9"/>
      <x v="12"/>
      <x v="4"/>
    </i>
    <i>
      <x v="12"/>
      <x v="5"/>
      <x v="7"/>
      <x v="3"/>
    </i>
    <i>
      <x v="13"/>
      <x v="9"/>
      <x v="14"/>
      <x/>
    </i>
    <i>
      <x v="14"/>
      <x v="4"/>
      <x v="20"/>
      <x v="3"/>
    </i>
    <i>
      <x v="15"/>
      <x v="19"/>
      <x v="14"/>
      <x/>
    </i>
    <i>
      <x v="16"/>
      <x v="6"/>
      <x v="3"/>
      <x v="4"/>
    </i>
    <i>
      <x v="17"/>
      <x v="5"/>
      <x/>
      <x v="2"/>
    </i>
    <i>
      <x v="18"/>
      <x v="19"/>
      <x v="16"/>
      <x/>
    </i>
    <i>
      <x v="19"/>
      <x v="12"/>
      <x v="17"/>
      <x v="3"/>
    </i>
    <i>
      <x v="20"/>
      <x v="19"/>
      <x/>
      <x v="2"/>
    </i>
    <i>
      <x v="21"/>
      <x v="9"/>
      <x v="4"/>
      <x v="1"/>
    </i>
    <i>
      <x v="22"/>
      <x v="11"/>
      <x v="9"/>
      <x v="2"/>
    </i>
    <i>
      <x v="23"/>
      <x v="9"/>
      <x v="10"/>
      <x/>
    </i>
    <i>
      <x v="24"/>
      <x v="10"/>
      <x v="16"/>
      <x/>
    </i>
    <i>
      <x v="25"/>
      <x v="2"/>
      <x v="6"/>
      <x v="2"/>
    </i>
    <i>
      <x v="26"/>
      <x v="16"/>
      <x v="14"/>
      <x/>
    </i>
    <i>
      <x v="27"/>
      <x v="7"/>
      <x v="11"/>
      <x v="2"/>
    </i>
    <i>
      <x v="28"/>
      <x v="18"/>
      <x v="16"/>
      <x/>
    </i>
    <i>
      <x v="29"/>
      <x v="7"/>
      <x v="12"/>
      <x v="4"/>
    </i>
    <i>
      <x v="30"/>
      <x v="13"/>
      <x v="1"/>
      <x v="4"/>
    </i>
    <i>
      <x v="31"/>
      <x v="18"/>
      <x v="20"/>
      <x v="3"/>
    </i>
    <i>
      <x v="32"/>
      <x v="19"/>
      <x v="20"/>
      <x v="3"/>
    </i>
    <i>
      <x v="33"/>
      <x v="3"/>
      <x v="15"/>
      <x v="1"/>
    </i>
    <i>
      <x v="34"/>
      <x v="8"/>
      <x v="13"/>
      <x v="1"/>
    </i>
    <i>
      <x v="35"/>
      <x v="11"/>
      <x v="20"/>
      <x v="3"/>
    </i>
    <i>
      <x v="36"/>
      <x v="3"/>
      <x v="17"/>
      <x v="3"/>
    </i>
    <i>
      <x v="37"/>
      <x v="5"/>
      <x v="10"/>
      <x/>
    </i>
    <i>
      <x v="38"/>
      <x v="2"/>
      <x v="17"/>
      <x v="3"/>
    </i>
    <i>
      <x v="39"/>
      <x v="5"/>
      <x v="10"/>
      <x/>
    </i>
    <i>
      <x v="40"/>
      <x v="3"/>
      <x v="19"/>
      <x v="3"/>
    </i>
    <i>
      <x v="41"/>
      <x v="15"/>
      <x v="10"/>
      <x/>
    </i>
    <i>
      <x v="42"/>
      <x v="6"/>
      <x v="2"/>
      <x v="1"/>
    </i>
    <i>
      <x v="43"/>
      <x/>
      <x v="18"/>
      <x v="2"/>
    </i>
    <i>
      <x v="44"/>
      <x v="18"/>
      <x v="8"/>
      <x v="4"/>
    </i>
    <i>
      <x v="45"/>
      <x v="17"/>
      <x v="19"/>
      <x v="3"/>
    </i>
    <i>
      <x v="46"/>
      <x v="12"/>
      <x v="19"/>
      <x v="3"/>
    </i>
    <i>
      <x v="47"/>
      <x v="16"/>
      <x v="3"/>
      <x v="4"/>
    </i>
    <i>
      <x v="48"/>
      <x v="7"/>
      <x v="6"/>
      <x v="2"/>
    </i>
    <i>
      <x v="49"/>
      <x v="14"/>
      <x v="11"/>
      <x v="2"/>
    </i>
    <i>
      <x v="50"/>
      <x v="12"/>
      <x v="1"/>
      <x v="4"/>
    </i>
    <i>
      <x v="51"/>
      <x v="12"/>
      <x v="2"/>
      <x v="1"/>
    </i>
    <i>
      <x v="52"/>
      <x v="9"/>
      <x v="20"/>
      <x v="3"/>
    </i>
    <i>
      <x v="53"/>
      <x v="19"/>
      <x v="20"/>
      <x v="3"/>
    </i>
    <i>
      <x v="54"/>
      <x v="13"/>
      <x v="3"/>
      <x v="4"/>
    </i>
    <i>
      <x v="55"/>
      <x v="1"/>
      <x v="4"/>
      <x v="1"/>
    </i>
    <i>
      <x v="56"/>
      <x v="8"/>
      <x v="18"/>
      <x v="2"/>
    </i>
    <i>
      <x v="57"/>
      <x v="5"/>
      <x v="18"/>
      <x v="2"/>
    </i>
    <i>
      <x v="58"/>
      <x v="17"/>
      <x v="8"/>
      <x v="4"/>
    </i>
    <i>
      <x v="59"/>
      <x v="17"/>
      <x/>
      <x v="2"/>
    </i>
    <i>
      <x v="60"/>
      <x v="14"/>
      <x v="8"/>
      <x v="4"/>
    </i>
    <i>
      <x v="61"/>
      <x v="19"/>
      <x v="20"/>
      <x v="3"/>
    </i>
    <i>
      <x v="62"/>
      <x v="3"/>
      <x v="14"/>
      <x/>
    </i>
    <i>
      <x v="63"/>
      <x v="1"/>
      <x/>
      <x v="2"/>
    </i>
    <i>
      <x v="64"/>
      <x v="10"/>
      <x v="18"/>
      <x v="2"/>
    </i>
    <i>
      <x v="65"/>
      <x v="4"/>
      <x v="19"/>
      <x v="3"/>
    </i>
    <i>
      <x v="66"/>
      <x v="17"/>
      <x v="2"/>
      <x v="1"/>
    </i>
    <i>
      <x v="67"/>
      <x v="8"/>
      <x v="17"/>
      <x v="3"/>
    </i>
    <i>
      <x v="68"/>
      <x v="6"/>
      <x v="5"/>
      <x/>
    </i>
    <i>
      <x v="69"/>
      <x v="13"/>
      <x v="12"/>
      <x v="4"/>
    </i>
    <i>
      <x v="70"/>
      <x v="16"/>
      <x v="7"/>
      <x v="3"/>
    </i>
    <i>
      <x v="71"/>
      <x/>
      <x v="1"/>
      <x v="4"/>
    </i>
    <i>
      <x v="72"/>
      <x v="13"/>
      <x v="4"/>
      <x v="1"/>
    </i>
    <i>
      <x v="73"/>
      <x v="11"/>
      <x v="13"/>
      <x v="1"/>
    </i>
    <i>
      <x v="74"/>
      <x v="9"/>
      <x/>
      <x v="2"/>
    </i>
    <i>
      <x v="75"/>
      <x v="4"/>
      <x v="5"/>
      <x/>
    </i>
    <i>
      <x v="76"/>
      <x v="10"/>
      <x v="5"/>
      <x/>
    </i>
    <i>
      <x v="77"/>
      <x v="18"/>
      <x v="16"/>
      <x/>
    </i>
    <i>
      <x v="78"/>
      <x v="4"/>
      <x v="8"/>
      <x v="4"/>
    </i>
    <i>
      <x v="79"/>
      <x v="10"/>
      <x v="10"/>
      <x/>
    </i>
    <i>
      <x v="80"/>
      <x v="12"/>
      <x v="12"/>
      <x v="4"/>
    </i>
    <i>
      <x v="81"/>
      <x v="12"/>
      <x v="13"/>
      <x v="1"/>
    </i>
    <i>
      <x v="82"/>
      <x/>
      <x v="3"/>
      <x v="4"/>
    </i>
    <i>
      <x v="83"/>
      <x/>
      <x v="16"/>
      <x/>
    </i>
    <i>
      <x v="84"/>
      <x v="4"/>
      <x v="18"/>
      <x v="2"/>
    </i>
    <i>
      <x v="85"/>
      <x v="7"/>
      <x v="19"/>
      <x v="3"/>
    </i>
    <i>
      <x v="86"/>
      <x v="4"/>
      <x v="16"/>
      <x/>
    </i>
    <i>
      <x v="87"/>
      <x v="2"/>
      <x v="5"/>
      <x/>
    </i>
    <i>
      <x v="88"/>
      <x v="17"/>
      <x v="5"/>
      <x/>
    </i>
    <i>
      <x v="89"/>
      <x v="17"/>
      <x v="2"/>
      <x v="1"/>
    </i>
    <i>
      <x v="90"/>
      <x v="8"/>
      <x v="18"/>
      <x v="2"/>
    </i>
    <i>
      <x v="91"/>
      <x v="11"/>
      <x v="8"/>
      <x v="4"/>
    </i>
    <i>
      <x v="92"/>
      <x v="17"/>
      <x v="2"/>
      <x v="1"/>
    </i>
    <i>
      <x v="93"/>
      <x v="3"/>
      <x v="19"/>
      <x v="3"/>
    </i>
    <i>
      <x v="94"/>
      <x v="3"/>
      <x v="10"/>
      <x/>
    </i>
    <i>
      <x v="95"/>
      <x v="3"/>
      <x v="8"/>
      <x v="4"/>
    </i>
    <i>
      <x v="96"/>
      <x v="2"/>
      <x v="6"/>
      <x v="2"/>
    </i>
    <i>
      <x v="97"/>
      <x v="5"/>
      <x v="15"/>
      <x v="1"/>
    </i>
    <i>
      <x v="98"/>
      <x v="13"/>
      <x v="2"/>
      <x v="1"/>
    </i>
    <i>
      <x v="99"/>
      <x v="8"/>
      <x v="5"/>
      <x/>
    </i>
    <i>
      <x v="100"/>
      <x v="10"/>
      <x v="8"/>
      <x v="4"/>
    </i>
    <i>
      <x v="101"/>
      <x v="19"/>
      <x v="12"/>
      <x v="4"/>
    </i>
    <i>
      <x v="102"/>
      <x v="1"/>
      <x v="11"/>
      <x v="2"/>
    </i>
    <i>
      <x v="103"/>
      <x v="15"/>
      <x v="8"/>
      <x v="4"/>
    </i>
    <i>
      <x v="104"/>
      <x v="11"/>
      <x v="4"/>
      <x v="1"/>
    </i>
    <i>
      <x v="105"/>
      <x v="18"/>
      <x v="12"/>
      <x v="4"/>
    </i>
    <i>
      <x v="106"/>
      <x v="8"/>
      <x v="1"/>
      <x v="4"/>
    </i>
    <i>
      <x v="107"/>
      <x v="13"/>
      <x v="15"/>
      <x v="1"/>
    </i>
    <i>
      <x v="108"/>
      <x v="2"/>
      <x v="19"/>
      <x v="3"/>
    </i>
    <i>
      <x v="109"/>
      <x v="1"/>
      <x v="13"/>
      <x v="1"/>
    </i>
    <i>
      <x v="110"/>
      <x v="13"/>
      <x v="3"/>
      <x v="4"/>
    </i>
    <i>
      <x v="111"/>
      <x v="1"/>
      <x v="14"/>
      <x/>
    </i>
    <i>
      <x v="112"/>
      <x v="3"/>
      <x v="1"/>
      <x v="4"/>
    </i>
    <i>
      <x v="113"/>
      <x v="1"/>
      <x v="11"/>
      <x v="2"/>
    </i>
    <i>
      <x v="114"/>
      <x v="10"/>
      <x v="2"/>
      <x v="1"/>
    </i>
    <i>
      <x v="115"/>
      <x v="17"/>
      <x v="18"/>
      <x v="2"/>
    </i>
    <i>
      <x v="116"/>
      <x v="19"/>
      <x v="20"/>
      <x v="3"/>
    </i>
    <i>
      <x v="117"/>
      <x/>
      <x v="19"/>
      <x v="3"/>
    </i>
    <i>
      <x v="118"/>
      <x v="19"/>
      <x v="7"/>
      <x v="3"/>
    </i>
    <i>
      <x v="119"/>
      <x v="7"/>
      <x v="12"/>
      <x v="4"/>
    </i>
    <i>
      <x v="120"/>
      <x v="2"/>
      <x v="7"/>
      <x v="3"/>
    </i>
    <i>
      <x v="121"/>
      <x v="14"/>
      <x v="20"/>
      <x v="3"/>
    </i>
    <i>
      <x v="122"/>
      <x v="6"/>
      <x v="19"/>
      <x v="3"/>
    </i>
    <i>
      <x v="123"/>
      <x v="8"/>
      <x v="12"/>
      <x v="4"/>
    </i>
    <i>
      <x v="124"/>
      <x v="19"/>
      <x v="5"/>
      <x/>
    </i>
    <i>
      <x v="125"/>
      <x v="17"/>
      <x v="15"/>
      <x v="1"/>
    </i>
    <i>
      <x v="126"/>
      <x v="11"/>
      <x v="1"/>
      <x v="4"/>
    </i>
    <i>
      <x v="127"/>
      <x v="5"/>
      <x v="4"/>
      <x v="1"/>
    </i>
    <i>
      <x v="128"/>
      <x v="6"/>
      <x v="1"/>
      <x v="4"/>
    </i>
    <i>
      <x v="129"/>
      <x v="17"/>
      <x v="19"/>
      <x v="3"/>
    </i>
    <i>
      <x v="130"/>
      <x v="17"/>
      <x/>
      <x v="2"/>
    </i>
    <i>
      <x v="131"/>
      <x v="2"/>
      <x v="2"/>
      <x v="1"/>
    </i>
    <i>
      <x v="132"/>
      <x v="7"/>
      <x v="5"/>
      <x/>
    </i>
    <i>
      <x v="133"/>
      <x/>
      <x v="17"/>
      <x v="3"/>
    </i>
    <i>
      <x v="134"/>
      <x v="10"/>
      <x v="10"/>
      <x/>
    </i>
    <i>
      <x v="135"/>
      <x v="5"/>
      <x v="20"/>
      <x v="3"/>
    </i>
    <i>
      <x v="136"/>
      <x/>
      <x v="17"/>
      <x v="3"/>
    </i>
    <i>
      <x v="137"/>
      <x v="17"/>
      <x v="10"/>
      <x/>
    </i>
    <i>
      <x v="138"/>
      <x v="11"/>
      <x v="2"/>
      <x v="1"/>
    </i>
    <i>
      <x v="139"/>
      <x v="9"/>
      <x v="7"/>
      <x v="3"/>
    </i>
    <i>
      <x v="140"/>
      <x v="3"/>
      <x v="6"/>
      <x v="2"/>
    </i>
    <i>
      <x v="141"/>
      <x v="9"/>
      <x v="5"/>
      <x/>
    </i>
    <i>
      <x v="142"/>
      <x v="17"/>
      <x v="14"/>
      <x/>
    </i>
    <i>
      <x v="143"/>
      <x v="19"/>
      <x v="13"/>
      <x v="1"/>
    </i>
    <i>
      <x v="144"/>
      <x v="17"/>
      <x v="2"/>
      <x v="1"/>
    </i>
    <i>
      <x v="145"/>
      <x v="15"/>
      <x v="2"/>
      <x v="1"/>
    </i>
    <i>
      <x v="146"/>
      <x v="1"/>
      <x v="12"/>
      <x v="4"/>
    </i>
    <i>
      <x v="147"/>
      <x v="12"/>
      <x v="5"/>
      <x/>
    </i>
    <i>
      <x v="148"/>
      <x v="7"/>
      <x v="16"/>
      <x/>
    </i>
    <i>
      <x v="149"/>
      <x v="2"/>
      <x v="2"/>
      <x v="1"/>
    </i>
    <i>
      <x v="150"/>
      <x v="17"/>
      <x v="1"/>
      <x v="4"/>
    </i>
    <i>
      <x v="151"/>
      <x v="9"/>
      <x v="2"/>
      <x v="1"/>
    </i>
    <i>
      <x v="152"/>
      <x v="19"/>
      <x v="7"/>
      <x v="3"/>
    </i>
    <i>
      <x v="153"/>
      <x v="7"/>
      <x v="19"/>
      <x v="3"/>
    </i>
    <i>
      <x v="154"/>
      <x v="2"/>
      <x v="12"/>
      <x v="4"/>
    </i>
    <i>
      <x v="155"/>
      <x/>
      <x v="6"/>
      <x v="2"/>
    </i>
    <i>
      <x v="156"/>
      <x v="2"/>
      <x v="13"/>
      <x v="1"/>
    </i>
    <i>
      <x v="157"/>
      <x v="18"/>
      <x v="4"/>
      <x v="1"/>
    </i>
    <i>
      <x v="158"/>
      <x v="2"/>
      <x/>
      <x v="2"/>
    </i>
    <i>
      <x v="159"/>
      <x v="19"/>
      <x v="17"/>
      <x v="3"/>
    </i>
    <i>
      <x v="160"/>
      <x v="16"/>
      <x v="12"/>
      <x v="4"/>
    </i>
    <i>
      <x v="161"/>
      <x v="13"/>
      <x v="14"/>
      <x/>
    </i>
    <i>
      <x v="162"/>
      <x v="10"/>
      <x v="11"/>
      <x v="2"/>
    </i>
    <i>
      <x v="163"/>
      <x v="16"/>
      <x v="5"/>
      <x/>
    </i>
    <i>
      <x v="164"/>
      <x v="11"/>
      <x v="20"/>
      <x v="3"/>
    </i>
    <i>
      <x v="165"/>
      <x/>
      <x v="10"/>
      <x/>
    </i>
    <i>
      <x v="166"/>
      <x v="11"/>
      <x v="16"/>
      <x/>
    </i>
    <i>
      <x v="167"/>
      <x v="3"/>
      <x v="16"/>
      <x/>
    </i>
    <i>
      <x v="168"/>
      <x v="10"/>
      <x v="19"/>
      <x v="3"/>
    </i>
    <i>
      <x v="169"/>
      <x v="12"/>
      <x v="10"/>
      <x/>
    </i>
    <i>
      <x v="170"/>
      <x v="6"/>
      <x v="3"/>
      <x v="4"/>
    </i>
    <i>
      <x v="171"/>
      <x v="19"/>
      <x v="1"/>
      <x v="4"/>
    </i>
    <i>
      <x v="172"/>
      <x v="19"/>
      <x v="5"/>
      <x/>
    </i>
    <i>
      <x v="173"/>
      <x v="13"/>
      <x v="16"/>
      <x/>
    </i>
    <i>
      <x v="174"/>
      <x v="19"/>
      <x v="14"/>
      <x/>
    </i>
    <i>
      <x v="175"/>
      <x v="6"/>
      <x v="17"/>
      <x v="3"/>
    </i>
    <i>
      <x v="176"/>
      <x v="7"/>
      <x/>
      <x v="2"/>
    </i>
    <i>
      <x v="177"/>
      <x v="17"/>
      <x v="12"/>
      <x v="4"/>
    </i>
    <i>
      <x v="178"/>
      <x v="13"/>
      <x v="12"/>
      <x v="4"/>
    </i>
    <i>
      <x v="179"/>
      <x v="9"/>
      <x/>
      <x v="2"/>
    </i>
    <i>
      <x v="180"/>
      <x v="18"/>
      <x v="7"/>
      <x v="3"/>
    </i>
    <i>
      <x v="181"/>
      <x v="9"/>
      <x v="8"/>
      <x v="4"/>
    </i>
    <i>
      <x v="182"/>
      <x v="2"/>
      <x v="4"/>
      <x v="1"/>
    </i>
    <i>
      <x v="183"/>
      <x v="4"/>
      <x/>
      <x v="2"/>
    </i>
    <i>
      <x v="184"/>
      <x v="17"/>
      <x v="11"/>
      <x v="2"/>
    </i>
    <i>
      <x v="185"/>
      <x v="9"/>
      <x v="16"/>
      <x/>
    </i>
    <i>
      <x v="186"/>
      <x v="15"/>
      <x v="19"/>
      <x v="3"/>
    </i>
    <i>
      <x v="187"/>
      <x v="16"/>
      <x v="9"/>
      <x v="2"/>
    </i>
    <i>
      <x v="188"/>
      <x/>
      <x v="8"/>
      <x v="4"/>
    </i>
    <i>
      <x v="189"/>
      <x v="5"/>
      <x v="9"/>
      <x v="2"/>
    </i>
    <i>
      <x v="190"/>
      <x v="7"/>
      <x v="19"/>
      <x v="3"/>
    </i>
    <i>
      <x v="191"/>
      <x v="2"/>
      <x v="2"/>
      <x v="1"/>
    </i>
    <i>
      <x v="192"/>
      <x v="9"/>
      <x v="4"/>
      <x v="1"/>
    </i>
    <i>
      <x v="193"/>
      <x v="8"/>
      <x v="12"/>
      <x v="4"/>
    </i>
    <i>
      <x v="194"/>
      <x/>
      <x v="1"/>
      <x v="4"/>
    </i>
    <i>
      <x v="195"/>
      <x v="1"/>
      <x v="11"/>
      <x v="2"/>
    </i>
    <i>
      <x v="196"/>
      <x v="3"/>
      <x v="2"/>
      <x v="1"/>
    </i>
    <i>
      <x v="197"/>
      <x v="9"/>
      <x v="20"/>
      <x v="3"/>
    </i>
    <i>
      <x v="198"/>
      <x v="17"/>
      <x v="2"/>
      <x v="1"/>
    </i>
    <i>
      <x v="199"/>
      <x v="13"/>
      <x v="10"/>
      <x/>
    </i>
    <i>
      <x v="200"/>
      <x v="18"/>
      <x v="11"/>
      <x v="2"/>
    </i>
    <i>
      <x v="201"/>
      <x v="4"/>
      <x v="14"/>
      <x/>
    </i>
    <i>
      <x v="202"/>
      <x v="3"/>
      <x v="14"/>
      <x/>
    </i>
    <i>
      <x v="203"/>
      <x v="14"/>
      <x v="3"/>
      <x v="4"/>
    </i>
    <i>
      <x v="204"/>
      <x v="15"/>
      <x v="10"/>
      <x/>
    </i>
    <i>
      <x v="205"/>
      <x/>
      <x v="12"/>
      <x v="4"/>
    </i>
    <i>
      <x v="206"/>
      <x v="15"/>
      <x v="6"/>
      <x v="2"/>
    </i>
    <i>
      <x v="207"/>
      <x v="12"/>
      <x v="10"/>
      <x/>
    </i>
    <i>
      <x v="208"/>
      <x v="18"/>
      <x v="12"/>
      <x v="4"/>
    </i>
    <i>
      <x v="209"/>
      <x v="6"/>
      <x v="6"/>
      <x v="2"/>
    </i>
    <i>
      <x v="210"/>
      <x v="8"/>
      <x v="16"/>
      <x/>
    </i>
    <i>
      <x v="211"/>
      <x v="10"/>
      <x v="19"/>
      <x v="3"/>
    </i>
    <i>
      <x v="212"/>
      <x v="17"/>
      <x v="7"/>
      <x v="3"/>
    </i>
    <i>
      <x v="213"/>
      <x v="17"/>
      <x v="16"/>
      <x/>
    </i>
    <i>
      <x v="214"/>
      <x v="9"/>
      <x v="6"/>
      <x v="2"/>
    </i>
    <i>
      <x v="215"/>
      <x v="4"/>
      <x v="17"/>
      <x v="3"/>
    </i>
    <i>
      <x v="216"/>
      <x v="8"/>
      <x v="17"/>
      <x v="3"/>
    </i>
    <i>
      <x v="217"/>
      <x v="3"/>
      <x v="12"/>
      <x v="4"/>
    </i>
    <i>
      <x v="218"/>
      <x v="8"/>
      <x v="7"/>
      <x v="3"/>
    </i>
    <i>
      <x v="219"/>
      <x/>
      <x v="1"/>
      <x v="4"/>
    </i>
    <i>
      <x v="220"/>
      <x v="15"/>
      <x v="13"/>
      <x v="1"/>
    </i>
    <i>
      <x v="221"/>
      <x v="7"/>
      <x v="10"/>
      <x/>
    </i>
    <i>
      <x v="222"/>
      <x v="10"/>
      <x v="16"/>
      <x/>
    </i>
    <i>
      <x v="223"/>
      <x v="10"/>
      <x v="17"/>
      <x v="3"/>
    </i>
    <i>
      <x v="224"/>
      <x v="9"/>
      <x v="20"/>
      <x v="3"/>
    </i>
    <i>
      <x v="225"/>
      <x v="12"/>
      <x v="20"/>
      <x v="3"/>
    </i>
    <i>
      <x v="226"/>
      <x v="5"/>
      <x v="12"/>
      <x v="4"/>
    </i>
    <i>
      <x v="227"/>
      <x v="5"/>
      <x v="15"/>
      <x v="1"/>
    </i>
    <i>
      <x v="228"/>
      <x v="17"/>
      <x v="2"/>
      <x v="1"/>
    </i>
    <i>
      <x v="229"/>
      <x v="19"/>
      <x v="6"/>
      <x v="2"/>
    </i>
    <i>
      <x v="230"/>
      <x v="2"/>
      <x v="11"/>
      <x v="2"/>
    </i>
    <i>
      <x v="231"/>
      <x/>
      <x v="11"/>
      <x v="2"/>
    </i>
    <i>
      <x v="232"/>
      <x v="8"/>
      <x v="4"/>
      <x v="1"/>
    </i>
    <i>
      <x v="233"/>
      <x v="18"/>
      <x v="13"/>
      <x v="1"/>
    </i>
    <i>
      <x v="234"/>
      <x v="13"/>
      <x v="8"/>
      <x v="4"/>
    </i>
    <i>
      <x v="235"/>
      <x v="15"/>
      <x v="16"/>
      <x/>
    </i>
    <i>
      <x v="236"/>
      <x v="13"/>
      <x v="13"/>
      <x v="1"/>
    </i>
    <i>
      <x v="237"/>
      <x v="14"/>
      <x v="20"/>
      <x v="3"/>
    </i>
    <i>
      <x v="238"/>
      <x v="19"/>
      <x v="4"/>
      <x v="1"/>
    </i>
    <i>
      <x v="239"/>
      <x v="5"/>
      <x/>
      <x v="2"/>
    </i>
    <i>
      <x v="240"/>
      <x v="9"/>
      <x v="5"/>
      <x/>
    </i>
    <i>
      <x v="241"/>
      <x v="4"/>
      <x v="7"/>
      <x v="3"/>
    </i>
    <i>
      <x v="242"/>
      <x v="17"/>
      <x v="15"/>
      <x v="1"/>
    </i>
    <i>
      <x v="243"/>
      <x v="4"/>
      <x v="20"/>
      <x v="3"/>
    </i>
    <i>
      <x v="244"/>
      <x v="5"/>
      <x v="3"/>
      <x v="4"/>
    </i>
    <i>
      <x v="245"/>
      <x v="16"/>
      <x v="4"/>
      <x v="1"/>
    </i>
    <i>
      <x v="246"/>
      <x v="17"/>
      <x v="11"/>
      <x v="2"/>
    </i>
    <i>
      <x v="247"/>
      <x v="13"/>
      <x v="2"/>
      <x v="1"/>
    </i>
    <i>
      <x v="248"/>
      <x v="14"/>
      <x v="3"/>
      <x v="4"/>
    </i>
    <i>
      <x v="249"/>
      <x v="16"/>
      <x v="8"/>
      <x v="4"/>
    </i>
    <i>
      <x v="250"/>
      <x v="2"/>
      <x v="4"/>
      <x v="1"/>
    </i>
    <i>
      <x v="251"/>
      <x v="2"/>
      <x/>
      <x v="2"/>
    </i>
    <i>
      <x v="252"/>
      <x v="5"/>
      <x v="20"/>
      <x v="3"/>
    </i>
    <i>
      <x v="253"/>
      <x v="12"/>
      <x v="1"/>
      <x v="4"/>
    </i>
    <i>
      <x v="254"/>
      <x v="12"/>
      <x v="15"/>
      <x v="1"/>
    </i>
    <i>
      <x v="255"/>
      <x v="9"/>
      <x v="14"/>
      <x/>
    </i>
    <i>
      <x v="256"/>
      <x v="18"/>
      <x v="19"/>
      <x v="3"/>
    </i>
    <i>
      <x v="257"/>
      <x v="11"/>
      <x v="1"/>
      <x v="4"/>
    </i>
    <i>
      <x v="258"/>
      <x v="19"/>
      <x v="17"/>
      <x v="3"/>
    </i>
    <i>
      <x v="259"/>
      <x v="1"/>
      <x v="9"/>
      <x v="2"/>
    </i>
    <i>
      <x v="260"/>
      <x v="11"/>
      <x v="20"/>
      <x v="3"/>
    </i>
    <i>
      <x v="261"/>
      <x v="19"/>
      <x v="15"/>
      <x v="1"/>
    </i>
    <i>
      <x v="262"/>
      <x v="15"/>
      <x v="7"/>
      <x v="3"/>
    </i>
    <i>
      <x v="263"/>
      <x/>
      <x v="13"/>
      <x v="1"/>
    </i>
    <i>
      <x v="264"/>
      <x v="15"/>
      <x v="16"/>
      <x/>
    </i>
    <i>
      <x v="265"/>
      <x v="16"/>
      <x v="1"/>
      <x v="4"/>
    </i>
    <i>
      <x v="266"/>
      <x v="17"/>
      <x v="12"/>
      <x v="4"/>
    </i>
    <i>
      <x v="267"/>
      <x v="8"/>
      <x v="16"/>
      <x/>
    </i>
    <i>
      <x v="268"/>
      <x v="15"/>
      <x v="16"/>
      <x/>
    </i>
    <i>
      <x v="269"/>
      <x v="12"/>
      <x/>
      <x v="2"/>
    </i>
    <i>
      <x v="270"/>
      <x v="6"/>
      <x v="13"/>
      <x v="1"/>
    </i>
    <i>
      <x v="271"/>
      <x v="17"/>
      <x v="3"/>
      <x v="4"/>
    </i>
    <i>
      <x v="272"/>
      <x v="15"/>
      <x v="3"/>
      <x v="4"/>
    </i>
    <i>
      <x v="273"/>
      <x v="3"/>
      <x v="19"/>
      <x v="3"/>
    </i>
    <i>
      <x v="274"/>
      <x v="18"/>
      <x v="20"/>
      <x v="3"/>
    </i>
    <i>
      <x v="275"/>
      <x v="17"/>
      <x v="1"/>
      <x v="4"/>
    </i>
    <i>
      <x v="276"/>
      <x v="4"/>
      <x v="17"/>
      <x v="3"/>
    </i>
    <i>
      <x v="277"/>
      <x v="17"/>
      <x v="2"/>
      <x v="1"/>
    </i>
    <i>
      <x v="278"/>
      <x v="9"/>
      <x v="3"/>
      <x v="4"/>
    </i>
    <i>
      <x v="279"/>
      <x v="12"/>
      <x v="12"/>
      <x v="4"/>
    </i>
    <i>
      <x v="280"/>
      <x v="14"/>
      <x v="19"/>
      <x v="3"/>
    </i>
    <i>
      <x v="281"/>
      <x v="9"/>
      <x v="15"/>
      <x v="1"/>
    </i>
    <i>
      <x v="282"/>
      <x v="13"/>
      <x v="3"/>
      <x v="4"/>
    </i>
    <i>
      <x v="283"/>
      <x v="9"/>
      <x v="5"/>
      <x/>
    </i>
    <i>
      <x v="284"/>
      <x/>
      <x v="10"/>
      <x/>
    </i>
    <i>
      <x v="285"/>
      <x v="3"/>
      <x v="12"/>
      <x v="4"/>
    </i>
    <i>
      <x v="286"/>
      <x v="10"/>
      <x v="1"/>
      <x v="4"/>
    </i>
    <i>
      <x v="287"/>
      <x v="18"/>
      <x v="1"/>
      <x v="4"/>
    </i>
    <i>
      <x v="288"/>
      <x v="4"/>
      <x v="6"/>
      <x v="2"/>
    </i>
    <i>
      <x v="289"/>
      <x v="11"/>
      <x v="15"/>
      <x v="1"/>
    </i>
    <i>
      <x v="290"/>
      <x v="19"/>
      <x v="5"/>
      <x/>
    </i>
    <i>
      <x v="291"/>
      <x v="19"/>
      <x v="14"/>
      <x/>
    </i>
    <i>
      <x v="292"/>
      <x v="15"/>
      <x v="18"/>
      <x v="2"/>
    </i>
    <i>
      <x v="293"/>
      <x/>
      <x v="3"/>
      <x v="4"/>
    </i>
    <i>
      <x v="294"/>
      <x v="1"/>
      <x v="20"/>
      <x v="3"/>
    </i>
    <i>
      <x v="295"/>
      <x v="14"/>
      <x v="12"/>
      <x v="4"/>
    </i>
    <i>
      <x v="296"/>
      <x v="9"/>
      <x v="15"/>
      <x v="1"/>
    </i>
    <i>
      <x v="297"/>
      <x v="14"/>
      <x v="9"/>
      <x v="2"/>
    </i>
    <i>
      <x v="298"/>
      <x v="6"/>
      <x v="18"/>
      <x v="2"/>
    </i>
    <i>
      <x v="299"/>
      <x v="16"/>
      <x v="2"/>
      <x v="1"/>
    </i>
    <i>
      <x v="300"/>
      <x v="11"/>
      <x v="3"/>
      <x v="4"/>
    </i>
    <i>
      <x v="301"/>
      <x v="1"/>
      <x v="12"/>
      <x v="4"/>
    </i>
    <i>
      <x v="302"/>
      <x v="16"/>
      <x v="18"/>
      <x v="2"/>
    </i>
    <i>
      <x v="303"/>
      <x v="3"/>
      <x v="19"/>
      <x v="3"/>
    </i>
    <i>
      <x v="304"/>
      <x v="5"/>
      <x v="5"/>
      <x/>
    </i>
    <i>
      <x v="305"/>
      <x v="8"/>
      <x v="19"/>
      <x v="3"/>
    </i>
    <i>
      <x v="306"/>
      <x v="17"/>
      <x v="1"/>
      <x v="4"/>
    </i>
    <i>
      <x v="307"/>
      <x v="1"/>
      <x v="20"/>
      <x v="3"/>
    </i>
    <i>
      <x v="308"/>
      <x v="19"/>
      <x v="14"/>
      <x/>
    </i>
    <i>
      <x v="309"/>
      <x v="6"/>
      <x v="19"/>
      <x v="3"/>
    </i>
    <i>
      <x v="310"/>
      <x v="1"/>
      <x v="3"/>
      <x v="4"/>
    </i>
    <i>
      <x v="311"/>
      <x v="11"/>
      <x v="17"/>
      <x v="3"/>
    </i>
    <i>
      <x v="312"/>
      <x v="16"/>
      <x v="8"/>
      <x v="4"/>
    </i>
    <i>
      <x v="313"/>
      <x v="14"/>
      <x v="8"/>
      <x v="4"/>
    </i>
    <i>
      <x v="314"/>
      <x v="3"/>
      <x v="9"/>
      <x v="2"/>
    </i>
    <i>
      <x v="315"/>
      <x v="2"/>
      <x v="4"/>
      <x v="1"/>
    </i>
    <i>
      <x v="316"/>
      <x v="19"/>
      <x v="2"/>
      <x v="1"/>
    </i>
    <i>
      <x v="317"/>
      <x v="6"/>
      <x v="9"/>
      <x v="2"/>
    </i>
    <i>
      <x v="318"/>
      <x v="10"/>
      <x v="14"/>
      <x/>
    </i>
    <i>
      <x v="319"/>
      <x v="19"/>
      <x v="13"/>
      <x v="1"/>
    </i>
    <i>
      <x v="320"/>
      <x v="9"/>
      <x v="11"/>
      <x v="2"/>
    </i>
    <i>
      <x v="321"/>
      <x v="8"/>
      <x v="5"/>
      <x/>
    </i>
    <i>
      <x v="322"/>
      <x v="12"/>
      <x v="17"/>
      <x v="3"/>
    </i>
    <i>
      <x v="323"/>
      <x v="16"/>
      <x v="7"/>
      <x v="3"/>
    </i>
    <i>
      <x v="324"/>
      <x v="19"/>
      <x v="4"/>
      <x v="1"/>
    </i>
    <i>
      <x v="325"/>
      <x v="3"/>
      <x v="3"/>
      <x v="4"/>
    </i>
    <i>
      <x v="326"/>
      <x v="17"/>
      <x v="8"/>
      <x v="4"/>
    </i>
    <i>
      <x v="327"/>
      <x v="12"/>
      <x v="2"/>
      <x v="1"/>
    </i>
    <i>
      <x v="328"/>
      <x v="5"/>
      <x v="2"/>
      <x v="1"/>
    </i>
    <i>
      <x v="329"/>
      <x v="18"/>
      <x v="6"/>
      <x v="2"/>
    </i>
    <i>
      <x v="330"/>
      <x v="4"/>
      <x v="7"/>
      <x v="3"/>
    </i>
    <i>
      <x v="331"/>
      <x v="5"/>
      <x v="11"/>
      <x v="2"/>
    </i>
    <i>
      <x v="332"/>
      <x v="6"/>
      <x v="11"/>
      <x v="2"/>
    </i>
    <i>
      <x v="333"/>
      <x/>
      <x v="8"/>
      <x v="4"/>
    </i>
    <i>
      <x v="334"/>
      <x v="19"/>
      <x v="7"/>
      <x v="3"/>
    </i>
    <i>
      <x v="335"/>
      <x v="4"/>
      <x v="16"/>
      <x/>
    </i>
    <i>
      <x v="336"/>
      <x v="15"/>
      <x v="7"/>
      <x v="3"/>
    </i>
    <i>
      <x v="337"/>
      <x v="5"/>
      <x v="20"/>
      <x v="3"/>
    </i>
    <i>
      <x v="338"/>
      <x v="11"/>
      <x v="19"/>
      <x v="3"/>
    </i>
    <i>
      <x v="339"/>
      <x v="9"/>
      <x v="17"/>
      <x v="3"/>
    </i>
    <i>
      <x v="340"/>
      <x v="11"/>
      <x v="8"/>
      <x v="4"/>
    </i>
    <i>
      <x v="341"/>
      <x v="12"/>
      <x v="1"/>
      <x v="4"/>
    </i>
    <i>
      <x v="342"/>
      <x v="15"/>
      <x v="9"/>
      <x v="2"/>
    </i>
    <i>
      <x v="343"/>
      <x v="17"/>
      <x v="10"/>
      <x/>
    </i>
    <i>
      <x v="344"/>
      <x v="3"/>
      <x/>
      <x v="2"/>
    </i>
    <i>
      <x v="345"/>
      <x v="9"/>
      <x v="2"/>
      <x v="1"/>
    </i>
    <i>
      <x v="346"/>
      <x v="6"/>
      <x v="7"/>
      <x v="3"/>
    </i>
    <i>
      <x v="347"/>
      <x/>
      <x v="13"/>
      <x v="1"/>
    </i>
    <i>
      <x v="348"/>
      <x v="8"/>
      <x v="6"/>
      <x v="2"/>
    </i>
    <i>
      <x v="349"/>
      <x v="14"/>
      <x v="7"/>
      <x v="3"/>
    </i>
    <i>
      <x v="350"/>
      <x v="8"/>
      <x/>
      <x v="2"/>
    </i>
    <i>
      <x v="351"/>
      <x v="9"/>
      <x v="5"/>
      <x/>
    </i>
    <i>
      <x v="352"/>
      <x v="4"/>
      <x v="7"/>
      <x v="3"/>
    </i>
    <i>
      <x v="353"/>
      <x v="15"/>
      <x v="10"/>
      <x/>
    </i>
    <i>
      <x v="354"/>
      <x v="13"/>
      <x v="17"/>
      <x v="3"/>
    </i>
    <i>
      <x v="355"/>
      <x v="9"/>
      <x v="14"/>
      <x/>
    </i>
    <i>
      <x v="356"/>
      <x v="6"/>
      <x v="1"/>
      <x v="4"/>
    </i>
    <i>
      <x v="357"/>
      <x v="3"/>
      <x v="18"/>
      <x v="2"/>
    </i>
    <i>
      <x v="358"/>
      <x v="15"/>
      <x v="20"/>
      <x v="3"/>
    </i>
    <i>
      <x v="359"/>
      <x v="8"/>
      <x v="9"/>
      <x v="2"/>
    </i>
    <i>
      <x v="360"/>
      <x v="19"/>
      <x v="11"/>
      <x v="2"/>
    </i>
    <i>
      <x v="361"/>
      <x v="17"/>
      <x v="2"/>
      <x v="1"/>
    </i>
    <i>
      <x v="362"/>
      <x v="17"/>
      <x v="14"/>
      <x/>
    </i>
    <i>
      <x v="363"/>
      <x v="16"/>
      <x v="10"/>
      <x/>
    </i>
    <i>
      <x v="364"/>
      <x v="5"/>
      <x v="9"/>
      <x v="2"/>
    </i>
    <i>
      <x v="365"/>
      <x v="17"/>
      <x v="5"/>
      <x/>
    </i>
    <i>
      <x v="366"/>
      <x v="1"/>
      <x v="4"/>
      <x v="1"/>
    </i>
    <i>
      <x v="367"/>
      <x v="17"/>
      <x v="14"/>
      <x/>
    </i>
    <i>
      <x v="368"/>
      <x v="12"/>
      <x v="1"/>
      <x v="4"/>
    </i>
    <i>
      <x v="369"/>
      <x v="4"/>
      <x v="4"/>
      <x v="1"/>
    </i>
    <i>
      <x v="370"/>
      <x v="9"/>
      <x v="2"/>
      <x v="1"/>
    </i>
    <i>
      <x v="371"/>
      <x v="2"/>
      <x v="4"/>
      <x v="1"/>
    </i>
    <i>
      <x v="372"/>
      <x v="11"/>
      <x/>
      <x v="2"/>
    </i>
    <i>
      <x v="373"/>
      <x v="5"/>
      <x v="15"/>
      <x v="1"/>
    </i>
    <i>
      <x v="374"/>
      <x v="6"/>
      <x v="18"/>
      <x v="2"/>
    </i>
    <i>
      <x v="375"/>
      <x/>
      <x/>
      <x v="2"/>
    </i>
    <i>
      <x v="376"/>
      <x v="7"/>
      <x v="12"/>
      <x v="4"/>
    </i>
    <i>
      <x v="377"/>
      <x v="14"/>
      <x v="19"/>
      <x v="3"/>
    </i>
    <i>
      <x v="378"/>
      <x v="17"/>
      <x v="20"/>
      <x v="3"/>
    </i>
    <i>
      <x v="379"/>
      <x v="14"/>
      <x v="20"/>
      <x v="3"/>
    </i>
    <i>
      <x v="380"/>
      <x v="8"/>
      <x v="11"/>
      <x v="2"/>
    </i>
    <i>
      <x v="381"/>
      <x v="8"/>
      <x v="12"/>
      <x v="4"/>
    </i>
    <i>
      <x v="382"/>
      <x v="3"/>
      <x v="13"/>
      <x v="1"/>
    </i>
    <i>
      <x v="383"/>
      <x v="13"/>
      <x v="4"/>
      <x v="1"/>
    </i>
    <i>
      <x v="384"/>
      <x v="2"/>
      <x v="15"/>
      <x v="1"/>
    </i>
    <i>
      <x v="385"/>
      <x v="10"/>
      <x v="20"/>
      <x v="3"/>
    </i>
    <i>
      <x v="386"/>
      <x v="6"/>
      <x v="9"/>
      <x v="2"/>
    </i>
    <i>
      <x v="387"/>
      <x v="13"/>
      <x v="7"/>
      <x v="3"/>
    </i>
    <i>
      <x v="388"/>
      <x v="16"/>
      <x v="11"/>
      <x v="2"/>
    </i>
    <i>
      <x v="389"/>
      <x/>
      <x v="1"/>
      <x v="4"/>
    </i>
    <i>
      <x v="390"/>
      <x v="7"/>
      <x v="16"/>
      <x/>
    </i>
    <i>
      <x v="391"/>
      <x v="17"/>
      <x v="4"/>
      <x v="1"/>
    </i>
    <i>
      <x v="392"/>
      <x v="8"/>
      <x v="15"/>
      <x v="1"/>
    </i>
    <i>
      <x v="393"/>
      <x v="7"/>
      <x v="17"/>
      <x v="3"/>
    </i>
    <i>
      <x v="394"/>
      <x v="17"/>
      <x v="5"/>
      <x/>
    </i>
    <i>
      <x v="395"/>
      <x v="7"/>
      <x v="17"/>
      <x v="3"/>
    </i>
    <i>
      <x v="396"/>
      <x v="4"/>
      <x v="17"/>
      <x v="3"/>
    </i>
    <i>
      <x v="397"/>
      <x v="4"/>
      <x v="10"/>
      <x/>
    </i>
    <i>
      <x v="398"/>
      <x v="4"/>
      <x v="1"/>
      <x v="4"/>
    </i>
    <i>
      <x v="399"/>
      <x v="5"/>
      <x v="9"/>
      <x v="2"/>
    </i>
    <i>
      <x v="400"/>
      <x v="10"/>
      <x v="18"/>
      <x v="2"/>
    </i>
    <i>
      <x v="401"/>
      <x v="5"/>
      <x v="2"/>
      <x v="1"/>
    </i>
    <i>
      <x v="402"/>
      <x v="3"/>
      <x v="10"/>
      <x/>
    </i>
    <i>
      <x v="403"/>
      <x v="7"/>
      <x v="20"/>
      <x v="3"/>
    </i>
    <i>
      <x v="404"/>
      <x v="9"/>
      <x v="17"/>
      <x v="3"/>
    </i>
    <i>
      <x v="405"/>
      <x v="5"/>
      <x v="5"/>
      <x/>
    </i>
    <i>
      <x v="406"/>
      <x v="17"/>
      <x v="18"/>
      <x v="2"/>
    </i>
    <i>
      <x v="407"/>
      <x v="14"/>
      <x v="15"/>
      <x v="1"/>
    </i>
    <i>
      <x v="408"/>
      <x v="10"/>
      <x v="1"/>
      <x v="4"/>
    </i>
    <i>
      <x v="409"/>
      <x v="3"/>
      <x v="1"/>
      <x v="4"/>
    </i>
    <i>
      <x v="410"/>
      <x v="1"/>
      <x v="2"/>
      <x v="1"/>
    </i>
    <i>
      <x v="411"/>
      <x/>
      <x v="2"/>
      <x v="1"/>
    </i>
    <i>
      <x v="412"/>
      <x v="11"/>
      <x v="8"/>
      <x v="4"/>
    </i>
    <i>
      <x v="413"/>
      <x v="1"/>
      <x v="16"/>
      <x/>
    </i>
    <i>
      <x v="414"/>
      <x/>
      <x v="3"/>
      <x v="4"/>
    </i>
    <i>
      <x v="415"/>
      <x/>
      <x v="20"/>
      <x v="3"/>
    </i>
    <i>
      <x v="416"/>
      <x v="1"/>
      <x v="10"/>
      <x/>
    </i>
    <i>
      <x v="417"/>
      <x v="8"/>
      <x v="6"/>
      <x v="2"/>
    </i>
    <i>
      <x v="418"/>
      <x v="3"/>
      <x v="2"/>
      <x v="1"/>
    </i>
    <i>
      <x v="419"/>
      <x v="9"/>
      <x v="4"/>
      <x v="1"/>
    </i>
    <i>
      <x v="420"/>
      <x v="4"/>
      <x v="7"/>
      <x v="3"/>
    </i>
    <i>
      <x v="421"/>
      <x v="5"/>
      <x v="1"/>
      <x v="4"/>
    </i>
    <i>
      <x v="422"/>
      <x v="7"/>
      <x v="18"/>
      <x v="2"/>
    </i>
    <i>
      <x v="423"/>
      <x v="19"/>
      <x v="13"/>
      <x v="1"/>
    </i>
    <i>
      <x v="424"/>
      <x v="18"/>
      <x v="12"/>
      <x v="4"/>
    </i>
    <i>
      <x v="425"/>
      <x v="6"/>
      <x v="13"/>
      <x v="1"/>
    </i>
    <i>
      <x v="426"/>
      <x v="8"/>
      <x v="2"/>
      <x v="1"/>
    </i>
    <i>
      <x v="427"/>
      <x v="3"/>
      <x v="16"/>
      <x/>
    </i>
    <i>
      <x v="428"/>
      <x v="16"/>
      <x v="17"/>
      <x v="3"/>
    </i>
    <i>
      <x v="429"/>
      <x v="14"/>
      <x/>
      <x v="2"/>
    </i>
    <i>
      <x v="430"/>
      <x v="1"/>
      <x v="4"/>
      <x v="1"/>
    </i>
    <i>
      <x v="431"/>
      <x v="15"/>
      <x v="12"/>
      <x v="4"/>
    </i>
    <i>
      <x v="432"/>
      <x v="19"/>
      <x v="9"/>
      <x v="2"/>
    </i>
    <i>
      <x v="433"/>
      <x v="4"/>
      <x v="10"/>
      <x/>
    </i>
    <i>
      <x v="434"/>
      <x v="5"/>
      <x v="16"/>
      <x/>
    </i>
    <i>
      <x v="435"/>
      <x v="7"/>
      <x v="13"/>
      <x v="1"/>
    </i>
    <i>
      <x v="436"/>
      <x v="6"/>
      <x v="13"/>
      <x v="1"/>
    </i>
    <i>
      <x v="437"/>
      <x/>
      <x v="19"/>
      <x v="3"/>
    </i>
    <i>
      <x v="438"/>
      <x/>
      <x v="17"/>
      <x v="3"/>
    </i>
    <i>
      <x v="439"/>
      <x v="10"/>
      <x v="4"/>
      <x v="1"/>
    </i>
    <i>
      <x v="440"/>
      <x v="6"/>
      <x v="2"/>
      <x v="1"/>
    </i>
    <i>
      <x v="441"/>
      <x v="2"/>
      <x v="14"/>
      <x/>
    </i>
    <i>
      <x v="442"/>
      <x v="6"/>
      <x v="19"/>
      <x v="3"/>
    </i>
    <i>
      <x v="443"/>
      <x v="12"/>
      <x v="19"/>
      <x v="3"/>
    </i>
    <i>
      <x v="444"/>
      <x v="5"/>
      <x v="20"/>
      <x v="3"/>
    </i>
    <i>
      <x v="445"/>
      <x v="5"/>
      <x v="20"/>
      <x v="3"/>
    </i>
    <i>
      <x v="446"/>
      <x v="8"/>
      <x v="17"/>
      <x v="3"/>
    </i>
    <i>
      <x v="447"/>
      <x v="15"/>
      <x v="3"/>
      <x v="4"/>
    </i>
    <i>
      <x v="448"/>
      <x v="19"/>
      <x v="17"/>
      <x v="3"/>
    </i>
    <i>
      <x v="449"/>
      <x v="10"/>
      <x/>
      <x v="2"/>
    </i>
    <i>
      <x v="450"/>
      <x v="9"/>
      <x v="17"/>
      <x v="3"/>
    </i>
    <i>
      <x v="451"/>
      <x v="16"/>
      <x v="4"/>
      <x v="1"/>
    </i>
    <i>
      <x v="452"/>
      <x v="13"/>
      <x v="1"/>
      <x v="4"/>
    </i>
    <i>
      <x v="453"/>
      <x v="9"/>
      <x v="9"/>
      <x v="2"/>
    </i>
    <i>
      <x v="454"/>
      <x v="18"/>
      <x v="20"/>
      <x v="3"/>
    </i>
    <i>
      <x v="455"/>
      <x v="13"/>
      <x v="20"/>
      <x v="3"/>
    </i>
    <i>
      <x v="456"/>
      <x v="6"/>
      <x/>
      <x v="2"/>
    </i>
    <i>
      <x v="457"/>
      <x v="7"/>
      <x v="18"/>
      <x v="2"/>
    </i>
    <i>
      <x v="458"/>
      <x v="1"/>
      <x v="12"/>
      <x v="4"/>
    </i>
    <i>
      <x v="459"/>
      <x v="9"/>
      <x v="7"/>
      <x v="3"/>
    </i>
    <i>
      <x v="460"/>
      <x v="12"/>
      <x v="19"/>
      <x v="3"/>
    </i>
    <i>
      <x v="461"/>
      <x v="7"/>
      <x v="8"/>
      <x v="4"/>
    </i>
    <i>
      <x v="462"/>
      <x v="14"/>
      <x/>
      <x v="2"/>
    </i>
    <i>
      <x v="463"/>
      <x v="13"/>
      <x v="7"/>
      <x v="3"/>
    </i>
    <i>
      <x v="464"/>
      <x v="14"/>
      <x v="8"/>
      <x v="4"/>
    </i>
    <i>
      <x v="465"/>
      <x v="1"/>
      <x v="8"/>
      <x v="4"/>
    </i>
    <i>
      <x v="466"/>
      <x/>
      <x v="5"/>
      <x/>
    </i>
    <i>
      <x v="467"/>
      <x v="6"/>
      <x v="8"/>
      <x v="4"/>
    </i>
    <i>
      <x v="468"/>
      <x v="10"/>
      <x/>
      <x v="2"/>
    </i>
    <i>
      <x v="469"/>
      <x v="12"/>
      <x v="12"/>
      <x v="4"/>
    </i>
    <i>
      <x v="470"/>
      <x v="4"/>
      <x v="1"/>
      <x v="4"/>
    </i>
    <i>
      <x v="471"/>
      <x v="1"/>
      <x v="13"/>
      <x v="1"/>
    </i>
    <i>
      <x v="472"/>
      <x v="18"/>
      <x v="9"/>
      <x v="2"/>
    </i>
    <i>
      <x v="473"/>
      <x v="12"/>
      <x v="10"/>
      <x/>
    </i>
    <i>
      <x v="474"/>
      <x v="5"/>
      <x v="16"/>
      <x/>
    </i>
    <i>
      <x v="475"/>
      <x v="9"/>
      <x v="12"/>
      <x v="4"/>
    </i>
    <i>
      <x v="476"/>
      <x v="18"/>
      <x v="8"/>
      <x v="4"/>
    </i>
    <i>
      <x v="477"/>
      <x v="4"/>
      <x v="17"/>
      <x v="3"/>
    </i>
    <i>
      <x v="478"/>
      <x v="7"/>
      <x v="1"/>
      <x v="4"/>
    </i>
    <i>
      <x v="479"/>
      <x v="19"/>
      <x v="10"/>
      <x/>
    </i>
    <i>
      <x v="480"/>
      <x v="7"/>
      <x v="2"/>
      <x v="1"/>
    </i>
    <i>
      <x v="481"/>
      <x v="15"/>
      <x v="1"/>
      <x v="4"/>
    </i>
    <i>
      <x v="482"/>
      <x v="11"/>
      <x v="17"/>
      <x v="3"/>
    </i>
    <i>
      <x v="483"/>
      <x v="18"/>
      <x/>
      <x v="2"/>
    </i>
    <i>
      <x v="484"/>
      <x v="6"/>
      <x/>
      <x v="2"/>
    </i>
    <i>
      <x v="485"/>
      <x v="11"/>
      <x/>
      <x v="2"/>
    </i>
    <i>
      <x v="486"/>
      <x v="7"/>
      <x v="20"/>
      <x v="3"/>
    </i>
    <i>
      <x v="487"/>
      <x v="13"/>
      <x v="17"/>
      <x v="3"/>
    </i>
    <i>
      <x v="488"/>
      <x v="5"/>
      <x v="9"/>
      <x v="2"/>
    </i>
    <i>
      <x v="489"/>
      <x v="4"/>
      <x v="10"/>
      <x/>
    </i>
    <i>
      <x v="490"/>
      <x v="9"/>
      <x v="7"/>
      <x v="3"/>
    </i>
    <i>
      <x v="491"/>
      <x v="5"/>
      <x v="5"/>
      <x/>
    </i>
    <i>
      <x v="492"/>
      <x v="12"/>
      <x v="4"/>
      <x v="1"/>
    </i>
    <i>
      <x v="493"/>
      <x v="5"/>
      <x v="14"/>
      <x/>
    </i>
    <i>
      <x v="494"/>
      <x v="14"/>
      <x/>
      <x v="2"/>
    </i>
    <i>
      <x v="495"/>
      <x v="8"/>
      <x v="4"/>
      <x v="1"/>
    </i>
    <i>
      <x v="496"/>
      <x v="16"/>
      <x v="14"/>
      <x/>
    </i>
    <i>
      <x v="497"/>
      <x v="11"/>
      <x v="18"/>
      <x v="2"/>
    </i>
    <i>
      <x v="498"/>
      <x v="1"/>
      <x v="14"/>
      <x/>
    </i>
    <i>
      <x v="499"/>
      <x v="17"/>
      <x/>
      <x v="2"/>
    </i>
    <i t="grand">
      <x/>
    </i>
  </rowItems>
  <colItems count="1">
    <i/>
  </colItems>
  <dataFields count="1">
    <dataField name="Total Sales" fld="8" baseField="0" baseItem="0"/>
  </dataFields>
  <formats count="2">
    <format dxfId="453">
      <pivotArea collapsedLevelsAreSubtotals="1" fieldPosition="0">
        <references count="1">
          <reference field="4294967294" count="1">
            <x v="0"/>
          </reference>
        </references>
      </pivotArea>
    </format>
    <format dxfId="45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M3:N9" firstHeaderRow="1" firstDataRow="1" firstDataCol="1"/>
  <pivotFields count="13">
    <pivotField showAll="0"/>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Total Sales" fld="8" baseField="0" baseItem="0"/>
  </dataFields>
  <formats count="2">
    <format dxfId="455">
      <pivotArea collapsedLevelsAreSubtotals="1" fieldPosition="0">
        <references count="1">
          <reference field="4294967294" count="1">
            <x v="0"/>
          </reference>
        </references>
      </pivotArea>
    </format>
    <format dxfId="454">
      <pivotArea collapsedLevelsAreSubtotals="1"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J3:K8" firstHeaderRow="1" firstDataRow="1" firstDataCol="1"/>
  <pivotFields count="13">
    <pivotField showAll="0"/>
    <pivotField showAll="0"/>
    <pivotField showAll="0"/>
    <pivotField showAll="0"/>
    <pivotField showAll="0">
      <items count="6">
        <item x="0"/>
        <item x="4"/>
        <item x="2"/>
        <item x="3"/>
        <item x="1"/>
        <item t="default"/>
      </items>
    </pivotField>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Total Sales" fld="8" baseField="0" baseItem="0"/>
  </dataFields>
  <formats count="2">
    <format dxfId="457">
      <pivotArea collapsedLevelsAreSubtotals="1" fieldPosition="0">
        <references count="1">
          <reference field="4294967294" count="1">
            <x v="0"/>
          </reference>
        </references>
      </pivotArea>
    </format>
    <format dxfId="456">
      <pivotArea collapsedLevelsAreSubtotals="1" fieldPosition="0">
        <references count="1">
          <reference field="4294967294" count="1">
            <x v="0"/>
          </reference>
        </references>
      </pivotArea>
    </format>
  </formats>
  <chartFormats count="5">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5">
  <location ref="G3:H9" firstHeaderRow="1" firstDataRow="1" firstDataCol="1"/>
  <pivotFields count="13">
    <pivotField showAll="0"/>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Total Sales" fld="8" baseField="0" baseItem="0"/>
  </dataFields>
  <formats count="2">
    <format dxfId="442">
      <pivotArea collapsedLevelsAreSubtotals="1" fieldPosition="0">
        <references count="1">
          <reference field="4294967294" count="1">
            <x v="0"/>
          </reference>
        </references>
      </pivotArea>
    </format>
    <format dxfId="443">
      <pivotArea collapsedLevelsAreSubtotals="1" fieldPosition="0">
        <references count="1">
          <reference field="4294967294" count="1">
            <x v="0"/>
          </reference>
        </references>
      </pivotArea>
    </format>
  </formats>
  <chartFormats count="6">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4" count="1" selected="0">
            <x v="4"/>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6">
  <location ref="D3:E16" firstHeaderRow="1" firstDataRow="1" firstDataCol="1"/>
  <pivotFields count="13">
    <pivotField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Total Sales" fld="8" baseField="0" baseItem="0"/>
  </dataFields>
  <formats count="2">
    <format dxfId="459">
      <pivotArea collapsedLevelsAreSubtotals="1" fieldPosition="0">
        <references count="1">
          <reference field="4294967294" count="1">
            <x v="0"/>
          </reference>
        </references>
      </pivotArea>
    </format>
    <format dxfId="458">
      <pivotArea collapsedLevelsAreSubtotals="1"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49"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B4:AC11" firstHeaderRow="1" firstDataRow="1" firstDataCol="1"/>
  <pivotFields count="13">
    <pivotField showAll="0"/>
    <pivotField showAll="0"/>
    <pivotField showAll="0"/>
    <pivotField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Total Sales" fld="8" baseField="0" baseItem="0"/>
  </dataFields>
  <formats count="2">
    <format dxfId="461">
      <pivotArea collapsedLevelsAreSubtotals="1" fieldPosition="0">
        <references count="1">
          <reference field="4294967294" count="1">
            <x v="0"/>
          </reference>
        </references>
      </pivotArea>
    </format>
    <format dxfId="460">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ller" sourceName="Seller">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ler" cache="Slicer_Seller" caption="Seller" style="SlicerStyleDark1" rowHeight="457200"/>
  <slicer name="Payment_Method" cache="Slicer_Payment_Method" caption="Payment_Method" style="SlicerStyleDark1" rowHeight="457200"/>
  <slicer name="Month" cache="Slicer_Month" caption="Month" columnCount="2" style="SlicerStyleDark1" rowHeight="457200"/>
</slicers>
</file>

<file path=xl/tables/table1.xml><?xml version="1.0" encoding="utf-8"?>
<table xmlns="http://schemas.openxmlformats.org/spreadsheetml/2006/main" id="2" name="Table2" displayName="Table2" ref="A1:M501" totalsRowShown="0">
  <autoFilter ref="A1:M501"/>
  <tableColumns count="13">
    <tableColumn id="1" name="Order_ID"/>
    <tableColumn id="2" name="Date"/>
    <tableColumn id="3" name="Customer_Name"/>
    <tableColumn id="4" name="Product"/>
    <tableColumn id="5" name="Category"/>
    <tableColumn id="6" name="State"/>
    <tableColumn id="7" name="Seller"/>
    <tableColumn id="8" name="Payment_Method"/>
    <tableColumn id="9" name="Sales"/>
    <tableColumn id="10" name="Quantity"/>
    <tableColumn id="11" name="Rating"/>
    <tableColumn id="12" name="Delivery"/>
    <tableColumn id="13"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3:AG505"/>
  <sheetViews>
    <sheetView topLeftCell="I1" zoomScale="85" zoomScaleNormal="85" workbookViewId="0">
      <selection activeCell="Q17" sqref="Q17"/>
    </sheetView>
  </sheetViews>
  <sheetFormatPr defaultRowHeight="14.25"/>
  <cols>
    <col min="1" max="1" width="16.625" customWidth="1"/>
    <col min="2" max="2" width="8.875" customWidth="1"/>
    <col min="3" max="3" width="15" bestFit="1" customWidth="1"/>
    <col min="4" max="4" width="18.625" bestFit="1" customWidth="1"/>
    <col min="5" max="5" width="12.375" bestFit="1" customWidth="1"/>
    <col min="7" max="7" width="13.125" bestFit="1" customWidth="1"/>
    <col min="8" max="8" width="10.75" bestFit="1" customWidth="1"/>
    <col min="10" max="10" width="13.125" bestFit="1" customWidth="1"/>
    <col min="11" max="11" width="10.75" bestFit="1" customWidth="1"/>
    <col min="13" max="13" width="13.125" bestFit="1" customWidth="1"/>
    <col min="14" max="14" width="10.75" bestFit="1" customWidth="1"/>
    <col min="16" max="16" width="15.875" bestFit="1" customWidth="1"/>
    <col min="17" max="17" width="10.75" bestFit="1" customWidth="1"/>
    <col min="22" max="22" width="10.125" customWidth="1"/>
    <col min="23" max="23" width="6" bestFit="1" customWidth="1"/>
    <col min="24" max="24" width="13.5" bestFit="1" customWidth="1"/>
    <col min="25" max="25" width="10" bestFit="1" customWidth="1"/>
    <col min="26" max="26" width="12.375" bestFit="1" customWidth="1"/>
    <col min="28" max="28" width="16.125" bestFit="1" customWidth="1"/>
    <col min="29" max="29" width="10.75" bestFit="1" customWidth="1"/>
    <col min="31" max="31" width="11.125" bestFit="1" customWidth="1"/>
  </cols>
  <sheetData>
    <row r="3" spans="1:33">
      <c r="A3" s="2" t="s">
        <v>864</v>
      </c>
      <c r="D3" s="2" t="s">
        <v>866</v>
      </c>
      <c r="E3" t="s">
        <v>865</v>
      </c>
      <c r="G3" s="2" t="s">
        <v>866</v>
      </c>
      <c r="H3" t="s">
        <v>865</v>
      </c>
      <c r="J3" s="2" t="s">
        <v>866</v>
      </c>
      <c r="K3" t="s">
        <v>865</v>
      </c>
      <c r="M3" s="2" t="s">
        <v>866</v>
      </c>
      <c r="N3" t="s">
        <v>865</v>
      </c>
      <c r="P3" s="2" t="s">
        <v>865</v>
      </c>
    </row>
    <row r="4" spans="1:33">
      <c r="A4" s="3" t="s">
        <v>862</v>
      </c>
      <c r="B4" s="4">
        <v>4.1180000000000021</v>
      </c>
      <c r="D4" s="3" t="s">
        <v>144</v>
      </c>
      <c r="E4" s="5">
        <v>1480730</v>
      </c>
      <c r="G4" s="3" t="s">
        <v>17</v>
      </c>
      <c r="H4" s="5">
        <v>490618</v>
      </c>
      <c r="J4" s="3" t="s">
        <v>36</v>
      </c>
      <c r="K4" s="5">
        <v>5522910</v>
      </c>
      <c r="M4" s="3" t="s">
        <v>97</v>
      </c>
      <c r="N4" s="5">
        <v>5398413</v>
      </c>
      <c r="P4" s="2" t="s">
        <v>0</v>
      </c>
      <c r="Q4" s="2" t="s">
        <v>2</v>
      </c>
      <c r="R4" s="2" t="s">
        <v>3</v>
      </c>
      <c r="S4" s="2" t="s">
        <v>4</v>
      </c>
      <c r="T4" t="s">
        <v>868</v>
      </c>
      <c r="V4" s="8" t="s">
        <v>0</v>
      </c>
      <c r="W4" s="8" t="s">
        <v>8</v>
      </c>
      <c r="X4" s="8" t="s">
        <v>3</v>
      </c>
      <c r="Y4" s="8" t="s">
        <v>4</v>
      </c>
      <c r="Z4" s="8" t="s">
        <v>869</v>
      </c>
      <c r="AB4" s="2" t="s">
        <v>866</v>
      </c>
      <c r="AC4" t="s">
        <v>865</v>
      </c>
      <c r="AE4" s="10" t="s">
        <v>5</v>
      </c>
      <c r="AF4" s="10" t="s">
        <v>8</v>
      </c>
      <c r="AG4" s="10" t="s">
        <v>870</v>
      </c>
    </row>
    <row r="5" spans="1:33">
      <c r="A5" s="3" t="s">
        <v>860</v>
      </c>
      <c r="B5" s="1">
        <v>500</v>
      </c>
      <c r="D5" s="3" t="s">
        <v>87</v>
      </c>
      <c r="E5" s="5">
        <v>1991453</v>
      </c>
      <c r="G5" s="3" t="s">
        <v>52</v>
      </c>
      <c r="H5" s="5">
        <v>570604</v>
      </c>
      <c r="J5" s="3" t="s">
        <v>20</v>
      </c>
      <c r="K5" s="5">
        <v>5037484</v>
      </c>
      <c r="M5" s="3" t="s">
        <v>34</v>
      </c>
      <c r="N5" s="5">
        <v>2352917</v>
      </c>
      <c r="P5" t="s">
        <v>13</v>
      </c>
      <c r="Q5" t="s">
        <v>15</v>
      </c>
      <c r="R5" t="s">
        <v>16</v>
      </c>
      <c r="S5" t="s">
        <v>17</v>
      </c>
      <c r="T5" s="5">
        <v>3028</v>
      </c>
      <c r="V5" t="str">
        <f>P5</f>
        <v>ORD10001</v>
      </c>
      <c r="W5" t="str">
        <f t="shared" ref="W5:Z10" si="0">Q5</f>
        <v>Rohit</v>
      </c>
      <c r="X5" t="str">
        <f t="shared" si="0"/>
        <v>Shampoo</v>
      </c>
      <c r="Y5" t="str">
        <f t="shared" si="0"/>
        <v>Beauty</v>
      </c>
      <c r="Z5" s="7">
        <f t="shared" si="0"/>
        <v>3028</v>
      </c>
      <c r="AB5" s="3" t="s">
        <v>83</v>
      </c>
      <c r="AC5" s="5">
        <v>3353882</v>
      </c>
      <c r="AE5" s="11" t="str">
        <f>AB5</f>
        <v>Delhi</v>
      </c>
      <c r="AF5" s="12">
        <f>AC5</f>
        <v>3353882</v>
      </c>
      <c r="AG5" s="13">
        <f>AF5/AF11</f>
        <v>0.14578028382255265</v>
      </c>
    </row>
    <row r="6" spans="1:33">
      <c r="A6" s="3" t="s">
        <v>861</v>
      </c>
      <c r="B6" s="6">
        <v>2280</v>
      </c>
      <c r="D6" s="3" t="s">
        <v>80</v>
      </c>
      <c r="E6" s="5">
        <v>2439516</v>
      </c>
      <c r="G6" s="3" t="s">
        <v>42</v>
      </c>
      <c r="H6" s="5">
        <v>1790583</v>
      </c>
      <c r="J6" s="3" t="s">
        <v>29</v>
      </c>
      <c r="K6" s="5">
        <v>6132531</v>
      </c>
      <c r="M6" s="3" t="s">
        <v>113</v>
      </c>
      <c r="N6" s="5">
        <v>2432276</v>
      </c>
      <c r="P6" t="s">
        <v>22</v>
      </c>
      <c r="Q6" t="s">
        <v>24</v>
      </c>
      <c r="R6" t="s">
        <v>25</v>
      </c>
      <c r="S6" t="s">
        <v>26</v>
      </c>
      <c r="T6" s="5">
        <v>32636</v>
      </c>
      <c r="V6" t="str">
        <f t="shared" ref="V6:V10" si="1">P6</f>
        <v>ORD10002</v>
      </c>
      <c r="W6" t="str">
        <f t="shared" si="0"/>
        <v>Kavya</v>
      </c>
      <c r="X6" t="str">
        <f t="shared" si="0"/>
        <v>Chair</v>
      </c>
      <c r="Y6" t="str">
        <f t="shared" si="0"/>
        <v>Home</v>
      </c>
      <c r="Z6" s="7">
        <f t="shared" si="0"/>
        <v>32636</v>
      </c>
      <c r="AB6" s="3" t="s">
        <v>27</v>
      </c>
      <c r="AC6" s="5">
        <v>4389497</v>
      </c>
      <c r="AE6" s="11" t="str">
        <f t="shared" ref="AE6:AE10" si="2">AB6</f>
        <v>Gujrat</v>
      </c>
      <c r="AF6" s="12">
        <f t="shared" ref="AF6:AF10" si="3">AC6</f>
        <v>4389497</v>
      </c>
      <c r="AG6" s="13">
        <f>AF6/AF11</f>
        <v>0.19079446399671882</v>
      </c>
    </row>
    <row r="7" spans="1:33">
      <c r="A7" s="3" t="s">
        <v>863</v>
      </c>
      <c r="B7" s="4">
        <v>4.2919999999999998</v>
      </c>
      <c r="D7" s="3" t="s">
        <v>37</v>
      </c>
      <c r="E7" s="5">
        <v>1723736</v>
      </c>
      <c r="G7" s="3" t="s">
        <v>26</v>
      </c>
      <c r="H7" s="5">
        <v>2691079</v>
      </c>
      <c r="J7" s="3" t="s">
        <v>64</v>
      </c>
      <c r="K7" s="5">
        <v>6313492</v>
      </c>
      <c r="M7" s="3" t="s">
        <v>130</v>
      </c>
      <c r="N7" s="5">
        <v>3842259</v>
      </c>
      <c r="P7" t="s">
        <v>31</v>
      </c>
      <c r="Q7" t="s">
        <v>33</v>
      </c>
      <c r="R7" t="s">
        <v>34</v>
      </c>
      <c r="S7" t="s">
        <v>35</v>
      </c>
      <c r="T7" s="5">
        <v>313782</v>
      </c>
      <c r="V7" t="str">
        <f t="shared" si="1"/>
        <v>ORD10003</v>
      </c>
      <c r="W7" t="str">
        <f t="shared" si="0"/>
        <v>Neha</v>
      </c>
      <c r="X7" t="str">
        <f t="shared" si="0"/>
        <v>iPhone 15</v>
      </c>
      <c r="Y7" t="str">
        <f t="shared" si="0"/>
        <v>Electronics</v>
      </c>
      <c r="Z7" s="7">
        <f t="shared" si="0"/>
        <v>313782</v>
      </c>
      <c r="AB7" s="3" t="s">
        <v>18</v>
      </c>
      <c r="AC7" s="5">
        <v>5312858</v>
      </c>
      <c r="AE7" s="11" t="str">
        <f t="shared" si="2"/>
        <v>Karnataka</v>
      </c>
      <c r="AF7" s="12">
        <f t="shared" si="3"/>
        <v>5312858</v>
      </c>
      <c r="AG7" s="13">
        <f>AF7/AF11</f>
        <v>0.23092939678525343</v>
      </c>
    </row>
    <row r="8" spans="1:33">
      <c r="A8" s="3" t="s">
        <v>865</v>
      </c>
      <c r="B8" s="5">
        <v>23006417</v>
      </c>
      <c r="D8" s="3" t="s">
        <v>21</v>
      </c>
      <c r="E8" s="5">
        <v>2226405</v>
      </c>
      <c r="G8" s="3" t="s">
        <v>35</v>
      </c>
      <c r="H8" s="5">
        <v>17463533</v>
      </c>
      <c r="J8" s="3" t="s">
        <v>867</v>
      </c>
      <c r="K8" s="5">
        <v>23006417</v>
      </c>
      <c r="M8" s="3" t="s">
        <v>165</v>
      </c>
      <c r="N8" s="5">
        <v>3437668</v>
      </c>
      <c r="P8" t="s">
        <v>38</v>
      </c>
      <c r="Q8" t="s">
        <v>40</v>
      </c>
      <c r="R8" t="s">
        <v>41</v>
      </c>
      <c r="S8" t="s">
        <v>42</v>
      </c>
      <c r="T8" s="5">
        <v>11375</v>
      </c>
      <c r="V8" t="str">
        <f t="shared" si="1"/>
        <v>ORD10004</v>
      </c>
      <c r="W8" t="str">
        <f t="shared" si="0"/>
        <v>Rahul</v>
      </c>
      <c r="X8" t="str">
        <f t="shared" si="0"/>
        <v>Shoes</v>
      </c>
      <c r="Y8" t="str">
        <f t="shared" si="0"/>
        <v>Fashion</v>
      </c>
      <c r="Z8" s="7">
        <f t="shared" si="0"/>
        <v>11375</v>
      </c>
      <c r="AB8" s="3" t="s">
        <v>60</v>
      </c>
      <c r="AC8" s="5">
        <v>3463152</v>
      </c>
      <c r="AE8" s="11" t="str">
        <f t="shared" si="2"/>
        <v>Maharashtra</v>
      </c>
      <c r="AF8" s="12">
        <f t="shared" si="3"/>
        <v>3463152</v>
      </c>
      <c r="AG8" s="13">
        <f>AF8/AF11</f>
        <v>0.15052982826487063</v>
      </c>
    </row>
    <row r="9" spans="1:33">
      <c r="D9" s="3" t="s">
        <v>126</v>
      </c>
      <c r="E9" s="5">
        <v>1483670</v>
      </c>
      <c r="G9" s="3" t="s">
        <v>867</v>
      </c>
      <c r="H9" s="5">
        <v>23006417</v>
      </c>
      <c r="M9" s="3" t="s">
        <v>867</v>
      </c>
      <c r="N9" s="5">
        <v>17463533</v>
      </c>
      <c r="P9" t="s">
        <v>43</v>
      </c>
      <c r="Q9" t="s">
        <v>45</v>
      </c>
      <c r="R9" t="s">
        <v>46</v>
      </c>
      <c r="S9" t="s">
        <v>42</v>
      </c>
      <c r="T9" s="5">
        <v>14496</v>
      </c>
      <c r="V9" t="str">
        <f t="shared" si="1"/>
        <v>ORD10005</v>
      </c>
      <c r="W9" t="str">
        <f t="shared" si="0"/>
        <v>Akash</v>
      </c>
      <c r="X9" t="str">
        <f t="shared" si="0"/>
        <v>Jeans</v>
      </c>
      <c r="Y9" t="str">
        <f t="shared" si="0"/>
        <v>Fashion</v>
      </c>
      <c r="Z9" s="7">
        <f t="shared" si="0"/>
        <v>14496</v>
      </c>
      <c r="AB9" s="3" t="s">
        <v>100</v>
      </c>
      <c r="AC9" s="5">
        <v>3050638</v>
      </c>
      <c r="AE9" s="11" t="str">
        <f t="shared" si="2"/>
        <v>Tamil Nadu</v>
      </c>
      <c r="AF9" s="12">
        <f t="shared" si="3"/>
        <v>3050638</v>
      </c>
      <c r="AG9" s="13">
        <f>AF9/AF11</f>
        <v>0.13259943953897732</v>
      </c>
    </row>
    <row r="10" spans="1:33">
      <c r="D10" s="3" t="s">
        <v>55</v>
      </c>
      <c r="E10" s="5">
        <v>2566476</v>
      </c>
      <c r="P10" t="s">
        <v>48</v>
      </c>
      <c r="Q10" t="s">
        <v>50</v>
      </c>
      <c r="R10" t="s">
        <v>51</v>
      </c>
      <c r="S10" t="s">
        <v>52</v>
      </c>
      <c r="T10" s="5">
        <v>5745</v>
      </c>
      <c r="V10" t="str">
        <f t="shared" si="1"/>
        <v>ORD10006</v>
      </c>
      <c r="W10" t="str">
        <f t="shared" si="0"/>
        <v>Anjali</v>
      </c>
      <c r="X10" t="str">
        <f t="shared" si="0"/>
        <v>Business Book</v>
      </c>
      <c r="Y10" t="str">
        <f t="shared" si="0"/>
        <v>Books</v>
      </c>
      <c r="Z10" s="7">
        <f t="shared" si="0"/>
        <v>5745</v>
      </c>
      <c r="AB10" s="3" t="s">
        <v>53</v>
      </c>
      <c r="AC10" s="5">
        <v>3436390</v>
      </c>
      <c r="AE10" s="11" t="str">
        <f t="shared" si="2"/>
        <v>Telangana</v>
      </c>
      <c r="AF10" s="12">
        <f t="shared" si="3"/>
        <v>3436390</v>
      </c>
      <c r="AG10" s="13">
        <f>AF10/AF11</f>
        <v>0.14936658759162716</v>
      </c>
    </row>
    <row r="11" spans="1:33">
      <c r="D11" s="3" t="s">
        <v>47</v>
      </c>
      <c r="E11" s="5">
        <v>1323566</v>
      </c>
      <c r="P11" t="s">
        <v>56</v>
      </c>
      <c r="Q11" t="s">
        <v>58</v>
      </c>
      <c r="R11" t="s">
        <v>59</v>
      </c>
      <c r="S11" t="s">
        <v>26</v>
      </c>
      <c r="T11" s="5">
        <v>24696</v>
      </c>
      <c r="V11" s="8" t="s">
        <v>868</v>
      </c>
      <c r="W11" s="8"/>
      <c r="X11" s="8"/>
      <c r="Y11" s="8"/>
      <c r="Z11" s="9">
        <f>SUM(Z5:Z10)</f>
        <v>381062</v>
      </c>
      <c r="AB11" s="3" t="s">
        <v>867</v>
      </c>
      <c r="AC11" s="5">
        <v>23006417</v>
      </c>
      <c r="AE11" s="10" t="s">
        <v>868</v>
      </c>
      <c r="AF11" s="14">
        <f>SUM(AF5:AF10)</f>
        <v>23006417</v>
      </c>
      <c r="AG11" s="15">
        <v>1</v>
      </c>
    </row>
    <row r="12" spans="1:33">
      <c r="D12" s="3" t="s">
        <v>65</v>
      </c>
      <c r="E12" s="5">
        <v>1648464</v>
      </c>
      <c r="P12" t="s">
        <v>61</v>
      </c>
      <c r="Q12" t="s">
        <v>45</v>
      </c>
      <c r="R12" t="s">
        <v>63</v>
      </c>
      <c r="S12" t="s">
        <v>52</v>
      </c>
      <c r="T12" s="5">
        <v>3536</v>
      </c>
    </row>
    <row r="13" spans="1:33">
      <c r="D13" s="3" t="s">
        <v>30</v>
      </c>
      <c r="E13" s="5">
        <v>1876219</v>
      </c>
      <c r="P13" t="s">
        <v>66</v>
      </c>
      <c r="Q13" t="s">
        <v>68</v>
      </c>
      <c r="R13" t="s">
        <v>69</v>
      </c>
      <c r="S13" t="s">
        <v>26</v>
      </c>
      <c r="T13" s="5">
        <v>25855</v>
      </c>
    </row>
    <row r="14" spans="1:33">
      <c r="D14" s="3" t="s">
        <v>192</v>
      </c>
      <c r="E14" s="5">
        <v>948995</v>
      </c>
      <c r="P14" t="s">
        <v>70</v>
      </c>
      <c r="Q14" t="s">
        <v>72</v>
      </c>
      <c r="R14" t="s">
        <v>41</v>
      </c>
      <c r="S14" t="s">
        <v>42</v>
      </c>
      <c r="T14" s="5">
        <v>9432</v>
      </c>
    </row>
    <row r="15" spans="1:33">
      <c r="D15" s="3" t="s">
        <v>119</v>
      </c>
      <c r="E15" s="5">
        <v>3297187</v>
      </c>
      <c r="P15" t="s">
        <v>73</v>
      </c>
      <c r="Q15" t="s">
        <v>75</v>
      </c>
      <c r="R15" t="s">
        <v>59</v>
      </c>
      <c r="S15" t="s">
        <v>26</v>
      </c>
      <c r="T15" s="5">
        <v>1749</v>
      </c>
    </row>
    <row r="16" spans="1:33">
      <c r="D16" s="3" t="s">
        <v>867</v>
      </c>
      <c r="E16" s="5">
        <v>23006417</v>
      </c>
      <c r="P16" t="s">
        <v>76</v>
      </c>
      <c r="Q16" t="s">
        <v>78</v>
      </c>
      <c r="R16" t="s">
        <v>79</v>
      </c>
      <c r="S16" t="s">
        <v>26</v>
      </c>
      <c r="T16" s="5">
        <v>85904</v>
      </c>
    </row>
    <row r="17" spans="16:20">
      <c r="P17" t="s">
        <v>81</v>
      </c>
      <c r="Q17" t="s">
        <v>58</v>
      </c>
      <c r="R17" t="s">
        <v>46</v>
      </c>
      <c r="S17" t="s">
        <v>42</v>
      </c>
      <c r="T17" s="5">
        <v>9792</v>
      </c>
    </row>
    <row r="18" spans="16:20">
      <c r="P18" t="s">
        <v>84</v>
      </c>
      <c r="Q18" t="s">
        <v>78</v>
      </c>
      <c r="R18" t="s">
        <v>86</v>
      </c>
      <c r="S18" t="s">
        <v>17</v>
      </c>
      <c r="T18" s="5">
        <v>976</v>
      </c>
    </row>
    <row r="19" spans="16:20">
      <c r="P19" t="s">
        <v>88</v>
      </c>
      <c r="Q19" t="s">
        <v>68</v>
      </c>
      <c r="R19" t="s">
        <v>90</v>
      </c>
      <c r="S19" t="s">
        <v>42</v>
      </c>
      <c r="T19" s="5">
        <v>8338</v>
      </c>
    </row>
    <row r="20" spans="16:20">
      <c r="P20" t="s">
        <v>91</v>
      </c>
      <c r="Q20" t="s">
        <v>75</v>
      </c>
      <c r="R20" t="s">
        <v>86</v>
      </c>
      <c r="S20" t="s">
        <v>17</v>
      </c>
      <c r="T20" s="5">
        <v>5592</v>
      </c>
    </row>
    <row r="21" spans="16:20">
      <c r="P21" t="s">
        <v>93</v>
      </c>
      <c r="Q21" t="s">
        <v>24</v>
      </c>
      <c r="R21" t="s">
        <v>25</v>
      </c>
      <c r="S21" t="s">
        <v>26</v>
      </c>
      <c r="T21" s="5">
        <v>17208</v>
      </c>
    </row>
    <row r="22" spans="16:20">
      <c r="P22" t="s">
        <v>95</v>
      </c>
      <c r="Q22" t="s">
        <v>58</v>
      </c>
      <c r="R22" t="s">
        <v>97</v>
      </c>
      <c r="S22" t="s">
        <v>35</v>
      </c>
      <c r="T22" s="5">
        <v>159523</v>
      </c>
    </row>
    <row r="23" spans="16:20">
      <c r="P23" t="s">
        <v>98</v>
      </c>
      <c r="Q23" t="s">
        <v>75</v>
      </c>
      <c r="R23" t="s">
        <v>16</v>
      </c>
      <c r="S23" t="s">
        <v>17</v>
      </c>
      <c r="T23" s="5">
        <v>10632</v>
      </c>
    </row>
    <row r="24" spans="16:20">
      <c r="P24" t="s">
        <v>101</v>
      </c>
      <c r="Q24" t="s">
        <v>103</v>
      </c>
      <c r="R24" t="s">
        <v>41</v>
      </c>
      <c r="S24" t="s">
        <v>42</v>
      </c>
      <c r="T24" s="5">
        <v>5484</v>
      </c>
    </row>
    <row r="25" spans="16:20">
      <c r="P25" t="s">
        <v>105</v>
      </c>
      <c r="Q25" t="s">
        <v>75</v>
      </c>
      <c r="R25" t="s">
        <v>97</v>
      </c>
      <c r="S25" t="s">
        <v>35</v>
      </c>
      <c r="T25" s="5">
        <v>60040</v>
      </c>
    </row>
    <row r="26" spans="16:20">
      <c r="P26" t="s">
        <v>107</v>
      </c>
      <c r="Q26" t="s">
        <v>78</v>
      </c>
      <c r="R26" t="s">
        <v>109</v>
      </c>
      <c r="S26" t="s">
        <v>52</v>
      </c>
      <c r="T26" s="5">
        <v>5668</v>
      </c>
    </row>
    <row r="27" spans="16:20">
      <c r="P27" t="s">
        <v>110</v>
      </c>
      <c r="Q27" t="s">
        <v>112</v>
      </c>
      <c r="R27" t="s">
        <v>113</v>
      </c>
      <c r="S27" t="s">
        <v>35</v>
      </c>
      <c r="T27" s="5">
        <v>245328</v>
      </c>
    </row>
    <row r="28" spans="16:20">
      <c r="P28" t="s">
        <v>114</v>
      </c>
      <c r="Q28" t="s">
        <v>78</v>
      </c>
      <c r="R28" t="s">
        <v>116</v>
      </c>
      <c r="S28" t="s">
        <v>17</v>
      </c>
      <c r="T28" s="5">
        <v>307</v>
      </c>
    </row>
    <row r="29" spans="16:20">
      <c r="P29" t="s">
        <v>117</v>
      </c>
      <c r="Q29" t="s">
        <v>33</v>
      </c>
      <c r="R29" t="s">
        <v>16</v>
      </c>
      <c r="S29" t="s">
        <v>17</v>
      </c>
      <c r="T29" s="5">
        <v>4251</v>
      </c>
    </row>
    <row r="30" spans="16:20">
      <c r="P30" t="s">
        <v>120</v>
      </c>
      <c r="Q30" t="s">
        <v>122</v>
      </c>
      <c r="R30" t="s">
        <v>34</v>
      </c>
      <c r="S30" t="s">
        <v>35</v>
      </c>
      <c r="T30" s="5">
        <v>195428</v>
      </c>
    </row>
    <row r="31" spans="16:20">
      <c r="P31" t="s">
        <v>123</v>
      </c>
      <c r="Q31" t="s">
        <v>125</v>
      </c>
      <c r="R31" t="s">
        <v>86</v>
      </c>
      <c r="S31" t="s">
        <v>17</v>
      </c>
      <c r="T31" s="5">
        <v>11697</v>
      </c>
    </row>
    <row r="32" spans="16:20">
      <c r="P32" t="s">
        <v>127</v>
      </c>
      <c r="Q32" t="s">
        <v>129</v>
      </c>
      <c r="R32" t="s">
        <v>130</v>
      </c>
      <c r="S32" t="s">
        <v>35</v>
      </c>
      <c r="T32" s="5">
        <v>218908</v>
      </c>
    </row>
    <row r="33" spans="16:20">
      <c r="P33" t="s">
        <v>131</v>
      </c>
      <c r="Q33" t="s">
        <v>133</v>
      </c>
      <c r="R33" t="s">
        <v>16</v>
      </c>
      <c r="S33" t="s">
        <v>17</v>
      </c>
      <c r="T33" s="5">
        <v>4467</v>
      </c>
    </row>
    <row r="34" spans="16:20">
      <c r="P34" t="s">
        <v>134</v>
      </c>
      <c r="Q34" t="s">
        <v>129</v>
      </c>
      <c r="R34" t="s">
        <v>79</v>
      </c>
      <c r="S34" t="s">
        <v>26</v>
      </c>
      <c r="T34" s="5">
        <v>9621</v>
      </c>
    </row>
    <row r="35" spans="16:20">
      <c r="P35" t="s">
        <v>136</v>
      </c>
      <c r="Q35" t="s">
        <v>40</v>
      </c>
      <c r="R35" t="s">
        <v>59</v>
      </c>
      <c r="S35" t="s">
        <v>26</v>
      </c>
      <c r="T35" s="5">
        <v>23452</v>
      </c>
    </row>
    <row r="36" spans="16:20">
      <c r="P36" t="s">
        <v>138</v>
      </c>
      <c r="Q36" t="s">
        <v>133</v>
      </c>
      <c r="R36" t="s">
        <v>90</v>
      </c>
      <c r="S36" t="s">
        <v>42</v>
      </c>
      <c r="T36" s="5">
        <v>15564</v>
      </c>
    </row>
    <row r="37" spans="16:20">
      <c r="P37" t="s">
        <v>140</v>
      </c>
      <c r="Q37" t="s">
        <v>75</v>
      </c>
      <c r="R37" t="s">
        <v>90</v>
      </c>
      <c r="S37" t="s">
        <v>42</v>
      </c>
      <c r="T37" s="5">
        <v>5576</v>
      </c>
    </row>
    <row r="38" spans="16:20">
      <c r="P38" t="s">
        <v>142</v>
      </c>
      <c r="Q38" t="s">
        <v>50</v>
      </c>
      <c r="R38" t="s">
        <v>63</v>
      </c>
      <c r="S38" t="s">
        <v>52</v>
      </c>
      <c r="T38" s="5">
        <v>2196</v>
      </c>
    </row>
    <row r="39" spans="16:20">
      <c r="P39" t="s">
        <v>145</v>
      </c>
      <c r="Q39" t="s">
        <v>146</v>
      </c>
      <c r="R39" t="s">
        <v>147</v>
      </c>
      <c r="S39" t="s">
        <v>52</v>
      </c>
      <c r="T39" s="5">
        <v>6790</v>
      </c>
    </row>
    <row r="40" spans="16:20">
      <c r="P40" t="s">
        <v>148</v>
      </c>
      <c r="Q40" t="s">
        <v>112</v>
      </c>
      <c r="R40" t="s">
        <v>90</v>
      </c>
      <c r="S40" t="s">
        <v>42</v>
      </c>
      <c r="T40" s="5">
        <v>22584</v>
      </c>
    </row>
    <row r="41" spans="16:20">
      <c r="P41" t="s">
        <v>150</v>
      </c>
      <c r="Q41" t="s">
        <v>50</v>
      </c>
      <c r="R41" t="s">
        <v>41</v>
      </c>
      <c r="S41" t="s">
        <v>42</v>
      </c>
      <c r="T41" s="5">
        <v>20496</v>
      </c>
    </row>
    <row r="42" spans="16:20">
      <c r="P42" t="s">
        <v>151</v>
      </c>
      <c r="Q42" t="s">
        <v>58</v>
      </c>
      <c r="R42" t="s">
        <v>116</v>
      </c>
      <c r="S42" t="s">
        <v>17</v>
      </c>
      <c r="T42" s="5">
        <v>8466</v>
      </c>
    </row>
    <row r="43" spans="16:20">
      <c r="P43" t="s">
        <v>153</v>
      </c>
      <c r="Q43" t="s">
        <v>122</v>
      </c>
      <c r="R43" t="s">
        <v>41</v>
      </c>
      <c r="S43" t="s">
        <v>42</v>
      </c>
      <c r="T43" s="5">
        <v>25865</v>
      </c>
    </row>
    <row r="44" spans="16:20">
      <c r="P44" t="s">
        <v>155</v>
      </c>
      <c r="Q44" t="s">
        <v>58</v>
      </c>
      <c r="R44" t="s">
        <v>116</v>
      </c>
      <c r="S44" t="s">
        <v>17</v>
      </c>
      <c r="T44" s="5">
        <v>12481</v>
      </c>
    </row>
    <row r="45" spans="16:20">
      <c r="P45" t="s">
        <v>157</v>
      </c>
      <c r="Q45" t="s">
        <v>50</v>
      </c>
      <c r="R45" t="s">
        <v>159</v>
      </c>
      <c r="S45" t="s">
        <v>42</v>
      </c>
      <c r="T45" s="5">
        <v>10143</v>
      </c>
    </row>
    <row r="46" spans="16:20">
      <c r="P46" t="s">
        <v>160</v>
      </c>
      <c r="Q46" t="s">
        <v>15</v>
      </c>
      <c r="R46" t="s">
        <v>116</v>
      </c>
      <c r="S46" t="s">
        <v>17</v>
      </c>
      <c r="T46" s="5">
        <v>1016</v>
      </c>
    </row>
    <row r="47" spans="16:20">
      <c r="P47" t="s">
        <v>162</v>
      </c>
      <c r="Q47" t="s">
        <v>24</v>
      </c>
      <c r="R47" t="s">
        <v>51</v>
      </c>
      <c r="S47" t="s">
        <v>52</v>
      </c>
      <c r="T47" s="5">
        <v>2284</v>
      </c>
    </row>
    <row r="48" spans="16:20">
      <c r="P48" t="s">
        <v>164</v>
      </c>
      <c r="Q48" t="s">
        <v>45</v>
      </c>
      <c r="R48" t="s">
        <v>165</v>
      </c>
      <c r="S48" t="s">
        <v>35</v>
      </c>
      <c r="T48" s="5">
        <v>87227</v>
      </c>
    </row>
    <row r="49" spans="16:20">
      <c r="P49" t="s">
        <v>166</v>
      </c>
      <c r="Q49" t="s">
        <v>133</v>
      </c>
      <c r="R49" t="s">
        <v>69</v>
      </c>
      <c r="S49" t="s">
        <v>26</v>
      </c>
      <c r="T49" s="5">
        <v>46092</v>
      </c>
    </row>
    <row r="50" spans="16:20">
      <c r="P50" t="s">
        <v>168</v>
      </c>
      <c r="Q50" t="s">
        <v>170</v>
      </c>
      <c r="R50" t="s">
        <v>159</v>
      </c>
      <c r="S50" t="s">
        <v>42</v>
      </c>
      <c r="T50" s="5">
        <v>22540</v>
      </c>
    </row>
    <row r="51" spans="16:20">
      <c r="P51" t="s">
        <v>171</v>
      </c>
      <c r="Q51" t="s">
        <v>103</v>
      </c>
      <c r="R51" t="s">
        <v>159</v>
      </c>
      <c r="S51" t="s">
        <v>42</v>
      </c>
      <c r="T51" s="5">
        <v>23534</v>
      </c>
    </row>
    <row r="52" spans="16:20">
      <c r="P52" t="s">
        <v>173</v>
      </c>
      <c r="Q52" t="s">
        <v>125</v>
      </c>
      <c r="R52" t="s">
        <v>25</v>
      </c>
      <c r="S52" t="s">
        <v>26</v>
      </c>
      <c r="T52" s="5">
        <v>39584</v>
      </c>
    </row>
    <row r="53" spans="16:20">
      <c r="P53" t="s">
        <v>175</v>
      </c>
      <c r="Q53" t="s">
        <v>129</v>
      </c>
      <c r="R53" t="s">
        <v>34</v>
      </c>
      <c r="S53" t="s">
        <v>35</v>
      </c>
      <c r="T53" s="5">
        <v>258124</v>
      </c>
    </row>
    <row r="54" spans="16:20">
      <c r="P54" t="s">
        <v>177</v>
      </c>
      <c r="Q54" t="s">
        <v>179</v>
      </c>
      <c r="R54" t="s">
        <v>130</v>
      </c>
      <c r="S54" t="s">
        <v>35</v>
      </c>
      <c r="T54" s="5">
        <v>87718</v>
      </c>
    </row>
    <row r="55" spans="16:20">
      <c r="P55" t="s">
        <v>180</v>
      </c>
      <c r="Q55" t="s">
        <v>103</v>
      </c>
      <c r="R55" t="s">
        <v>59</v>
      </c>
      <c r="S55" t="s">
        <v>26</v>
      </c>
      <c r="T55" s="5">
        <v>23008</v>
      </c>
    </row>
    <row r="56" spans="16:20">
      <c r="P56" t="s">
        <v>182</v>
      </c>
      <c r="Q56" t="s">
        <v>103</v>
      </c>
      <c r="R56" t="s">
        <v>51</v>
      </c>
      <c r="S56" t="s">
        <v>52</v>
      </c>
      <c r="T56" s="5">
        <v>1414</v>
      </c>
    </row>
    <row r="57" spans="16:20">
      <c r="P57" t="s">
        <v>184</v>
      </c>
      <c r="Q57" t="s">
        <v>78</v>
      </c>
      <c r="R57" t="s">
        <v>90</v>
      </c>
      <c r="S57" t="s">
        <v>42</v>
      </c>
      <c r="T57" s="5">
        <v>3189</v>
      </c>
    </row>
    <row r="58" spans="16:20">
      <c r="P58" t="s">
        <v>186</v>
      </c>
      <c r="Q58" t="s">
        <v>75</v>
      </c>
      <c r="R58" t="s">
        <v>90</v>
      </c>
      <c r="S58" t="s">
        <v>42</v>
      </c>
      <c r="T58" s="5">
        <v>10584</v>
      </c>
    </row>
    <row r="59" spans="16:20">
      <c r="P59" t="s">
        <v>188</v>
      </c>
      <c r="Q59" t="s">
        <v>40</v>
      </c>
      <c r="R59" t="s">
        <v>25</v>
      </c>
      <c r="S59" t="s">
        <v>26</v>
      </c>
      <c r="T59" s="5">
        <v>5571</v>
      </c>
    </row>
    <row r="60" spans="16:20">
      <c r="P60" t="s">
        <v>190</v>
      </c>
      <c r="Q60" t="s">
        <v>72</v>
      </c>
      <c r="R60" t="s">
        <v>109</v>
      </c>
      <c r="S60" t="s">
        <v>52</v>
      </c>
      <c r="T60" s="5">
        <v>2880</v>
      </c>
    </row>
    <row r="61" spans="16:20">
      <c r="P61" t="s">
        <v>193</v>
      </c>
      <c r="Q61" t="s">
        <v>146</v>
      </c>
      <c r="R61" t="s">
        <v>165</v>
      </c>
      <c r="S61" t="s">
        <v>35</v>
      </c>
      <c r="T61" s="5">
        <v>319665</v>
      </c>
    </row>
    <row r="62" spans="16:20">
      <c r="P62" t="s">
        <v>194</v>
      </c>
      <c r="Q62" t="s">
        <v>58</v>
      </c>
      <c r="R62" t="s">
        <v>165</v>
      </c>
      <c r="S62" t="s">
        <v>35</v>
      </c>
      <c r="T62" s="5">
        <v>77892</v>
      </c>
    </row>
    <row r="63" spans="16:20">
      <c r="P63" t="s">
        <v>196</v>
      </c>
      <c r="Q63" t="s">
        <v>170</v>
      </c>
      <c r="R63" t="s">
        <v>69</v>
      </c>
      <c r="S63" t="s">
        <v>26</v>
      </c>
      <c r="T63" s="5">
        <v>25500</v>
      </c>
    </row>
    <row r="64" spans="16:20">
      <c r="P64" t="s">
        <v>198</v>
      </c>
      <c r="Q64" t="s">
        <v>170</v>
      </c>
      <c r="R64" t="s">
        <v>97</v>
      </c>
      <c r="S64" t="s">
        <v>35</v>
      </c>
      <c r="T64" s="5">
        <v>596816</v>
      </c>
    </row>
    <row r="65" spans="16:20">
      <c r="P65" t="s">
        <v>200</v>
      </c>
      <c r="Q65" t="s">
        <v>179</v>
      </c>
      <c r="R65" t="s">
        <v>69</v>
      </c>
      <c r="S65" t="s">
        <v>26</v>
      </c>
      <c r="T65" s="5">
        <v>8967</v>
      </c>
    </row>
    <row r="66" spans="16:20">
      <c r="P66" t="s">
        <v>202</v>
      </c>
      <c r="Q66" t="s">
        <v>75</v>
      </c>
      <c r="R66" t="s">
        <v>90</v>
      </c>
      <c r="S66" t="s">
        <v>42</v>
      </c>
      <c r="T66" s="5">
        <v>3245</v>
      </c>
    </row>
    <row r="67" spans="16:20">
      <c r="P67" t="s">
        <v>204</v>
      </c>
      <c r="Q67" t="s">
        <v>50</v>
      </c>
      <c r="R67" t="s">
        <v>86</v>
      </c>
      <c r="S67" t="s">
        <v>17</v>
      </c>
      <c r="T67" s="5">
        <v>6710</v>
      </c>
    </row>
    <row r="68" spans="16:20">
      <c r="P68" t="s">
        <v>206</v>
      </c>
      <c r="Q68" t="s">
        <v>72</v>
      </c>
      <c r="R68" t="s">
        <v>97</v>
      </c>
      <c r="S68" t="s">
        <v>35</v>
      </c>
      <c r="T68" s="5">
        <v>208160</v>
      </c>
    </row>
    <row r="69" spans="16:20">
      <c r="P69" t="s">
        <v>208</v>
      </c>
      <c r="Q69" t="s">
        <v>33</v>
      </c>
      <c r="R69" t="s">
        <v>165</v>
      </c>
      <c r="S69" t="s">
        <v>35</v>
      </c>
      <c r="T69" s="5">
        <v>190589</v>
      </c>
    </row>
    <row r="70" spans="16:20">
      <c r="P70" t="s">
        <v>210</v>
      </c>
      <c r="Q70" t="s">
        <v>68</v>
      </c>
      <c r="R70" t="s">
        <v>159</v>
      </c>
      <c r="S70" t="s">
        <v>42</v>
      </c>
      <c r="T70" s="5">
        <v>3419</v>
      </c>
    </row>
    <row r="71" spans="16:20">
      <c r="P71" t="s">
        <v>212</v>
      </c>
      <c r="Q71" t="s">
        <v>170</v>
      </c>
      <c r="R71" t="s">
        <v>51</v>
      </c>
      <c r="S71" t="s">
        <v>52</v>
      </c>
      <c r="T71" s="5">
        <v>6519</v>
      </c>
    </row>
    <row r="72" spans="16:20">
      <c r="P72" t="s">
        <v>214</v>
      </c>
      <c r="Q72" t="s">
        <v>146</v>
      </c>
      <c r="R72" t="s">
        <v>41</v>
      </c>
      <c r="S72" t="s">
        <v>42</v>
      </c>
      <c r="T72" s="5">
        <v>2880</v>
      </c>
    </row>
    <row r="73" spans="16:20">
      <c r="P73" t="s">
        <v>216</v>
      </c>
      <c r="Q73" t="s">
        <v>24</v>
      </c>
      <c r="R73" t="s">
        <v>218</v>
      </c>
      <c r="S73" t="s">
        <v>17</v>
      </c>
      <c r="T73" s="5">
        <v>5170</v>
      </c>
    </row>
    <row r="74" spans="16:20">
      <c r="P74" t="s">
        <v>219</v>
      </c>
      <c r="Q74" t="s">
        <v>40</v>
      </c>
      <c r="R74" t="s">
        <v>79</v>
      </c>
      <c r="S74" t="s">
        <v>26</v>
      </c>
      <c r="T74" s="5">
        <v>14949</v>
      </c>
    </row>
    <row r="75" spans="16:20">
      <c r="P75" t="s">
        <v>221</v>
      </c>
      <c r="Q75" t="s">
        <v>125</v>
      </c>
      <c r="R75" t="s">
        <v>46</v>
      </c>
      <c r="S75" t="s">
        <v>42</v>
      </c>
      <c r="T75" s="5">
        <v>22210</v>
      </c>
    </row>
    <row r="76" spans="16:20">
      <c r="P76" t="s">
        <v>223</v>
      </c>
      <c r="Q76" t="s">
        <v>45</v>
      </c>
      <c r="R76" t="s">
        <v>59</v>
      </c>
      <c r="S76" t="s">
        <v>26</v>
      </c>
      <c r="T76" s="5">
        <v>26485</v>
      </c>
    </row>
    <row r="77" spans="16:20">
      <c r="P77" t="s">
        <v>225</v>
      </c>
      <c r="Q77" t="s">
        <v>40</v>
      </c>
      <c r="R77" t="s">
        <v>109</v>
      </c>
      <c r="S77" t="s">
        <v>52</v>
      </c>
      <c r="T77" s="5">
        <v>5104</v>
      </c>
    </row>
    <row r="78" spans="16:20">
      <c r="P78" t="s">
        <v>227</v>
      </c>
      <c r="Q78" t="s">
        <v>112</v>
      </c>
      <c r="R78" t="s">
        <v>147</v>
      </c>
      <c r="S78" t="s">
        <v>52</v>
      </c>
      <c r="T78" s="5">
        <v>5814</v>
      </c>
    </row>
    <row r="79" spans="16:20">
      <c r="P79" t="s">
        <v>229</v>
      </c>
      <c r="Q79" t="s">
        <v>78</v>
      </c>
      <c r="R79" t="s">
        <v>97</v>
      </c>
      <c r="S79" t="s">
        <v>35</v>
      </c>
      <c r="T79" s="5">
        <v>74214</v>
      </c>
    </row>
    <row r="80" spans="16:20">
      <c r="P80" t="s">
        <v>230</v>
      </c>
      <c r="Q80" t="s">
        <v>68</v>
      </c>
      <c r="R80" t="s">
        <v>218</v>
      </c>
      <c r="S80" t="s">
        <v>17</v>
      </c>
      <c r="T80" s="5">
        <v>2462</v>
      </c>
    </row>
    <row r="81" spans="16:20">
      <c r="P81" t="s">
        <v>232</v>
      </c>
      <c r="Q81" t="s">
        <v>33</v>
      </c>
      <c r="R81" t="s">
        <v>218</v>
      </c>
      <c r="S81" t="s">
        <v>17</v>
      </c>
      <c r="T81" s="5">
        <v>6504</v>
      </c>
    </row>
    <row r="82" spans="16:20">
      <c r="P82" t="s">
        <v>234</v>
      </c>
      <c r="Q82" t="s">
        <v>133</v>
      </c>
      <c r="R82" t="s">
        <v>16</v>
      </c>
      <c r="S82" t="s">
        <v>17</v>
      </c>
      <c r="T82" s="5">
        <v>3285</v>
      </c>
    </row>
    <row r="83" spans="16:20">
      <c r="P83" t="s">
        <v>236</v>
      </c>
      <c r="Q83" t="s">
        <v>68</v>
      </c>
      <c r="R83" t="s">
        <v>69</v>
      </c>
      <c r="S83" t="s">
        <v>26</v>
      </c>
      <c r="T83" s="5">
        <v>8085</v>
      </c>
    </row>
    <row r="84" spans="16:20">
      <c r="P84" t="s">
        <v>238</v>
      </c>
      <c r="Q84" t="s">
        <v>33</v>
      </c>
      <c r="R84" t="s">
        <v>116</v>
      </c>
      <c r="S84" t="s">
        <v>17</v>
      </c>
      <c r="T84" s="5">
        <v>2200</v>
      </c>
    </row>
    <row r="85" spans="16:20">
      <c r="P85" t="s">
        <v>239</v>
      </c>
      <c r="Q85" t="s">
        <v>103</v>
      </c>
      <c r="R85" t="s">
        <v>79</v>
      </c>
      <c r="S85" t="s">
        <v>26</v>
      </c>
      <c r="T85" s="5">
        <v>12868</v>
      </c>
    </row>
    <row r="86" spans="16:20">
      <c r="P86" t="s">
        <v>240</v>
      </c>
      <c r="Q86" t="s">
        <v>103</v>
      </c>
      <c r="R86" t="s">
        <v>147</v>
      </c>
      <c r="S86" t="s">
        <v>52</v>
      </c>
      <c r="T86" s="5">
        <v>310</v>
      </c>
    </row>
    <row r="87" spans="16:20">
      <c r="P87" t="s">
        <v>241</v>
      </c>
      <c r="Q87" t="s">
        <v>45</v>
      </c>
      <c r="R87" t="s">
        <v>25</v>
      </c>
      <c r="S87" t="s">
        <v>26</v>
      </c>
      <c r="T87" s="5">
        <v>20688</v>
      </c>
    </row>
    <row r="88" spans="16:20">
      <c r="P88" t="s">
        <v>243</v>
      </c>
      <c r="Q88" t="s">
        <v>45</v>
      </c>
      <c r="R88" t="s">
        <v>16</v>
      </c>
      <c r="S88" t="s">
        <v>17</v>
      </c>
      <c r="T88" s="5">
        <v>8211</v>
      </c>
    </row>
    <row r="89" spans="16:20">
      <c r="P89" t="s">
        <v>245</v>
      </c>
      <c r="Q89" t="s">
        <v>68</v>
      </c>
      <c r="R89" t="s">
        <v>165</v>
      </c>
      <c r="S89" t="s">
        <v>35</v>
      </c>
      <c r="T89" s="5">
        <v>246912</v>
      </c>
    </row>
    <row r="90" spans="16:20">
      <c r="P90" t="s">
        <v>247</v>
      </c>
      <c r="Q90" t="s">
        <v>129</v>
      </c>
      <c r="R90" t="s">
        <v>159</v>
      </c>
      <c r="S90" t="s">
        <v>42</v>
      </c>
      <c r="T90" s="5">
        <v>8868</v>
      </c>
    </row>
    <row r="91" spans="16:20">
      <c r="P91" t="s">
        <v>248</v>
      </c>
      <c r="Q91" t="s">
        <v>68</v>
      </c>
      <c r="R91" t="s">
        <v>16</v>
      </c>
      <c r="S91" t="s">
        <v>17</v>
      </c>
      <c r="T91" s="5">
        <v>3479</v>
      </c>
    </row>
    <row r="92" spans="16:20">
      <c r="P92" t="s">
        <v>249</v>
      </c>
      <c r="Q92" t="s">
        <v>122</v>
      </c>
      <c r="R92" t="s">
        <v>218</v>
      </c>
      <c r="S92" t="s">
        <v>17</v>
      </c>
      <c r="T92" s="5">
        <v>5100</v>
      </c>
    </row>
    <row r="93" spans="16:20">
      <c r="P93" t="s">
        <v>251</v>
      </c>
      <c r="Q93" t="s">
        <v>170</v>
      </c>
      <c r="R93" t="s">
        <v>218</v>
      </c>
      <c r="S93" t="s">
        <v>17</v>
      </c>
      <c r="T93" s="5">
        <v>4712</v>
      </c>
    </row>
    <row r="94" spans="16:20">
      <c r="P94" t="s">
        <v>253</v>
      </c>
      <c r="Q94" t="s">
        <v>170</v>
      </c>
      <c r="R94" t="s">
        <v>51</v>
      </c>
      <c r="S94" t="s">
        <v>52</v>
      </c>
      <c r="T94" s="5">
        <v>1125</v>
      </c>
    </row>
    <row r="95" spans="16:20">
      <c r="P95" t="s">
        <v>254</v>
      </c>
      <c r="Q95" t="s">
        <v>146</v>
      </c>
      <c r="R95" t="s">
        <v>165</v>
      </c>
      <c r="S95" t="s">
        <v>35</v>
      </c>
      <c r="T95" s="5">
        <v>46264</v>
      </c>
    </row>
    <row r="96" spans="16:20">
      <c r="P96" t="s">
        <v>256</v>
      </c>
      <c r="Q96" t="s">
        <v>112</v>
      </c>
      <c r="R96" t="s">
        <v>69</v>
      </c>
      <c r="S96" t="s">
        <v>26</v>
      </c>
      <c r="T96" s="5">
        <v>39215</v>
      </c>
    </row>
    <row r="97" spans="16:20">
      <c r="P97" t="s">
        <v>258</v>
      </c>
      <c r="Q97" t="s">
        <v>170</v>
      </c>
      <c r="R97" t="s">
        <v>51</v>
      </c>
      <c r="S97" t="s">
        <v>52</v>
      </c>
      <c r="T97" s="5">
        <v>1087</v>
      </c>
    </row>
    <row r="98" spans="16:20">
      <c r="P98" t="s">
        <v>260</v>
      </c>
      <c r="Q98" t="s">
        <v>50</v>
      </c>
      <c r="R98" t="s">
        <v>159</v>
      </c>
      <c r="S98" t="s">
        <v>42</v>
      </c>
      <c r="T98" s="5">
        <v>36939</v>
      </c>
    </row>
    <row r="99" spans="16:20">
      <c r="P99" t="s">
        <v>262</v>
      </c>
      <c r="Q99" t="s">
        <v>50</v>
      </c>
      <c r="R99" t="s">
        <v>116</v>
      </c>
      <c r="S99" t="s">
        <v>17</v>
      </c>
      <c r="T99" s="5">
        <v>8874</v>
      </c>
    </row>
    <row r="100" spans="16:20">
      <c r="P100" t="s">
        <v>264</v>
      </c>
      <c r="Q100" t="s">
        <v>50</v>
      </c>
      <c r="R100" t="s">
        <v>69</v>
      </c>
      <c r="S100" t="s">
        <v>26</v>
      </c>
      <c r="T100" s="5">
        <v>47628</v>
      </c>
    </row>
    <row r="101" spans="16:20">
      <c r="P101" t="s">
        <v>265</v>
      </c>
      <c r="Q101" t="s">
        <v>122</v>
      </c>
      <c r="R101" t="s">
        <v>34</v>
      </c>
      <c r="S101" t="s">
        <v>35</v>
      </c>
      <c r="T101" s="5">
        <v>55830</v>
      </c>
    </row>
    <row r="102" spans="16:20">
      <c r="P102" t="s">
        <v>266</v>
      </c>
      <c r="Q102" t="s">
        <v>58</v>
      </c>
      <c r="R102" t="s">
        <v>63</v>
      </c>
      <c r="S102" t="s">
        <v>52</v>
      </c>
      <c r="T102" s="5">
        <v>1674</v>
      </c>
    </row>
    <row r="103" spans="16:20">
      <c r="P103" t="s">
        <v>268</v>
      </c>
      <c r="Q103" t="s">
        <v>40</v>
      </c>
      <c r="R103" t="s">
        <v>51</v>
      </c>
      <c r="S103" t="s">
        <v>52</v>
      </c>
      <c r="T103" s="5">
        <v>11920</v>
      </c>
    </row>
    <row r="104" spans="16:20">
      <c r="P104" t="s">
        <v>269</v>
      </c>
      <c r="Q104" t="s">
        <v>146</v>
      </c>
      <c r="R104" t="s">
        <v>218</v>
      </c>
      <c r="S104" t="s">
        <v>17</v>
      </c>
      <c r="T104" s="5">
        <v>3240</v>
      </c>
    </row>
    <row r="105" spans="16:20">
      <c r="P105" t="s">
        <v>270</v>
      </c>
      <c r="Q105" t="s">
        <v>33</v>
      </c>
      <c r="R105" t="s">
        <v>69</v>
      </c>
      <c r="S105" t="s">
        <v>26</v>
      </c>
      <c r="T105" s="5">
        <v>6543</v>
      </c>
    </row>
    <row r="106" spans="16:20">
      <c r="P106" t="s">
        <v>272</v>
      </c>
      <c r="Q106" t="s">
        <v>75</v>
      </c>
      <c r="R106" t="s">
        <v>79</v>
      </c>
      <c r="S106" t="s">
        <v>26</v>
      </c>
      <c r="T106" s="5">
        <v>71538</v>
      </c>
    </row>
    <row r="107" spans="16:20">
      <c r="P107" t="s">
        <v>274</v>
      </c>
      <c r="Q107" t="s">
        <v>72</v>
      </c>
      <c r="R107" t="s">
        <v>130</v>
      </c>
      <c r="S107" t="s">
        <v>35</v>
      </c>
      <c r="T107" s="5">
        <v>236640</v>
      </c>
    </row>
    <row r="108" spans="16:20">
      <c r="P108" t="s">
        <v>276</v>
      </c>
      <c r="Q108" t="s">
        <v>15</v>
      </c>
      <c r="R108" t="s">
        <v>69</v>
      </c>
      <c r="S108" t="s">
        <v>26</v>
      </c>
      <c r="T108" s="5">
        <v>70704</v>
      </c>
    </row>
    <row r="109" spans="16:20">
      <c r="P109" t="s">
        <v>278</v>
      </c>
      <c r="Q109" t="s">
        <v>112</v>
      </c>
      <c r="R109" t="s">
        <v>109</v>
      </c>
      <c r="S109" t="s">
        <v>52</v>
      </c>
      <c r="T109" s="5">
        <v>3252</v>
      </c>
    </row>
    <row r="110" spans="16:20">
      <c r="P110" t="s">
        <v>280</v>
      </c>
      <c r="Q110" t="s">
        <v>133</v>
      </c>
      <c r="R110" t="s">
        <v>79</v>
      </c>
      <c r="S110" t="s">
        <v>26</v>
      </c>
      <c r="T110" s="5">
        <v>24584</v>
      </c>
    </row>
    <row r="111" spans="16:20">
      <c r="P111" t="s">
        <v>281</v>
      </c>
      <c r="Q111" t="s">
        <v>146</v>
      </c>
      <c r="R111" t="s">
        <v>59</v>
      </c>
      <c r="S111" t="s">
        <v>26</v>
      </c>
      <c r="T111" s="5">
        <v>15912</v>
      </c>
    </row>
    <row r="112" spans="16:20">
      <c r="P112" t="s">
        <v>283</v>
      </c>
      <c r="Q112" t="s">
        <v>40</v>
      </c>
      <c r="R112" t="s">
        <v>63</v>
      </c>
      <c r="S112" t="s">
        <v>52</v>
      </c>
      <c r="T112" s="5">
        <v>1389</v>
      </c>
    </row>
    <row r="113" spans="16:20">
      <c r="P113" t="s">
        <v>285</v>
      </c>
      <c r="Q113" t="s">
        <v>122</v>
      </c>
      <c r="R113" t="s">
        <v>159</v>
      </c>
      <c r="S113" t="s">
        <v>42</v>
      </c>
      <c r="T113" s="5">
        <v>1836</v>
      </c>
    </row>
    <row r="114" spans="16:20">
      <c r="P114" t="s">
        <v>287</v>
      </c>
      <c r="Q114" t="s">
        <v>72</v>
      </c>
      <c r="R114" t="s">
        <v>147</v>
      </c>
      <c r="S114" t="s">
        <v>52</v>
      </c>
      <c r="T114" s="5">
        <v>3246</v>
      </c>
    </row>
    <row r="115" spans="16:20">
      <c r="P115" t="s">
        <v>289</v>
      </c>
      <c r="Q115" t="s">
        <v>40</v>
      </c>
      <c r="R115" t="s">
        <v>25</v>
      </c>
      <c r="S115" t="s">
        <v>26</v>
      </c>
      <c r="T115" s="5">
        <v>10775</v>
      </c>
    </row>
    <row r="116" spans="16:20">
      <c r="P116" t="s">
        <v>291</v>
      </c>
      <c r="Q116" t="s">
        <v>72</v>
      </c>
      <c r="R116" t="s">
        <v>86</v>
      </c>
      <c r="S116" t="s">
        <v>17</v>
      </c>
      <c r="T116" s="5">
        <v>3424</v>
      </c>
    </row>
    <row r="117" spans="16:20">
      <c r="P117" t="s">
        <v>293</v>
      </c>
      <c r="Q117" t="s">
        <v>50</v>
      </c>
      <c r="R117" t="s">
        <v>59</v>
      </c>
      <c r="S117" t="s">
        <v>26</v>
      </c>
      <c r="T117" s="5">
        <v>13356</v>
      </c>
    </row>
    <row r="118" spans="16:20">
      <c r="P118" t="s">
        <v>295</v>
      </c>
      <c r="Q118" t="s">
        <v>72</v>
      </c>
      <c r="R118" t="s">
        <v>130</v>
      </c>
      <c r="S118" t="s">
        <v>35</v>
      </c>
      <c r="T118" s="5">
        <v>204624</v>
      </c>
    </row>
    <row r="119" spans="16:20">
      <c r="P119" t="s">
        <v>297</v>
      </c>
      <c r="Q119" t="s">
        <v>33</v>
      </c>
      <c r="R119" t="s">
        <v>51</v>
      </c>
      <c r="S119" t="s">
        <v>52</v>
      </c>
      <c r="T119" s="5">
        <v>7968</v>
      </c>
    </row>
    <row r="120" spans="16:20">
      <c r="P120" t="s">
        <v>299</v>
      </c>
      <c r="Q120" t="s">
        <v>170</v>
      </c>
      <c r="R120" t="s">
        <v>165</v>
      </c>
      <c r="S120" t="s">
        <v>35</v>
      </c>
      <c r="T120" s="5">
        <v>220384</v>
      </c>
    </row>
    <row r="121" spans="16:20">
      <c r="P121" t="s">
        <v>301</v>
      </c>
      <c r="Q121" t="s">
        <v>75</v>
      </c>
      <c r="R121" t="s">
        <v>90</v>
      </c>
      <c r="S121" t="s">
        <v>42</v>
      </c>
      <c r="T121" s="5">
        <v>33425</v>
      </c>
    </row>
    <row r="122" spans="16:20">
      <c r="P122" t="s">
        <v>303</v>
      </c>
      <c r="Q122" t="s">
        <v>45</v>
      </c>
      <c r="R122" t="s">
        <v>159</v>
      </c>
      <c r="S122" t="s">
        <v>42</v>
      </c>
      <c r="T122" s="5">
        <v>16930</v>
      </c>
    </row>
    <row r="123" spans="16:20">
      <c r="P123" t="s">
        <v>305</v>
      </c>
      <c r="Q123" t="s">
        <v>75</v>
      </c>
      <c r="R123" t="s">
        <v>46</v>
      </c>
      <c r="S123" t="s">
        <v>42</v>
      </c>
      <c r="T123" s="5">
        <v>4263</v>
      </c>
    </row>
    <row r="124" spans="16:20">
      <c r="P124" t="s">
        <v>307</v>
      </c>
      <c r="Q124" t="s">
        <v>129</v>
      </c>
      <c r="R124" t="s">
        <v>79</v>
      </c>
      <c r="S124" t="s">
        <v>26</v>
      </c>
      <c r="T124" s="5">
        <v>5703</v>
      </c>
    </row>
    <row r="125" spans="16:20">
      <c r="P125" t="s">
        <v>309</v>
      </c>
      <c r="Q125" t="s">
        <v>122</v>
      </c>
      <c r="R125" t="s">
        <v>46</v>
      </c>
      <c r="S125" t="s">
        <v>42</v>
      </c>
      <c r="T125" s="5">
        <v>29648</v>
      </c>
    </row>
    <row r="126" spans="16:20">
      <c r="P126" t="s">
        <v>311</v>
      </c>
      <c r="Q126" t="s">
        <v>179</v>
      </c>
      <c r="R126" t="s">
        <v>90</v>
      </c>
      <c r="S126" t="s">
        <v>42</v>
      </c>
      <c r="T126" s="5">
        <v>4914</v>
      </c>
    </row>
    <row r="127" spans="16:20">
      <c r="P127" t="s">
        <v>312</v>
      </c>
      <c r="Q127" t="s">
        <v>24</v>
      </c>
      <c r="R127" t="s">
        <v>159</v>
      </c>
      <c r="S127" t="s">
        <v>42</v>
      </c>
      <c r="T127" s="5">
        <v>2462</v>
      </c>
    </row>
    <row r="128" spans="16:20">
      <c r="P128" t="s">
        <v>314</v>
      </c>
      <c r="Q128" t="s">
        <v>146</v>
      </c>
      <c r="R128" t="s">
        <v>79</v>
      </c>
      <c r="S128" t="s">
        <v>26</v>
      </c>
      <c r="T128" s="5">
        <v>26848</v>
      </c>
    </row>
    <row r="129" spans="16:20">
      <c r="P129" t="s">
        <v>315</v>
      </c>
      <c r="Q129" t="s">
        <v>75</v>
      </c>
      <c r="R129" t="s">
        <v>218</v>
      </c>
      <c r="S129" t="s">
        <v>17</v>
      </c>
      <c r="T129" s="5">
        <v>11008</v>
      </c>
    </row>
    <row r="130" spans="16:20">
      <c r="P130" t="s">
        <v>316</v>
      </c>
      <c r="Q130" t="s">
        <v>170</v>
      </c>
      <c r="R130" t="s">
        <v>63</v>
      </c>
      <c r="S130" t="s">
        <v>52</v>
      </c>
      <c r="T130" s="5">
        <v>3332</v>
      </c>
    </row>
    <row r="131" spans="16:20">
      <c r="P131" t="s">
        <v>317</v>
      </c>
      <c r="Q131" t="s">
        <v>112</v>
      </c>
      <c r="R131" t="s">
        <v>59</v>
      </c>
      <c r="S131" t="s">
        <v>26</v>
      </c>
      <c r="T131" s="5">
        <v>28805</v>
      </c>
    </row>
    <row r="132" spans="16:20">
      <c r="P132" t="s">
        <v>318</v>
      </c>
      <c r="Q132" t="s">
        <v>58</v>
      </c>
      <c r="R132" t="s">
        <v>109</v>
      </c>
      <c r="S132" t="s">
        <v>52</v>
      </c>
      <c r="T132" s="5">
        <v>582</v>
      </c>
    </row>
    <row r="133" spans="16:20">
      <c r="P133" t="s">
        <v>320</v>
      </c>
      <c r="Q133" t="s">
        <v>24</v>
      </c>
      <c r="R133" t="s">
        <v>59</v>
      </c>
      <c r="S133" t="s">
        <v>26</v>
      </c>
      <c r="T133" s="5">
        <v>41150</v>
      </c>
    </row>
    <row r="134" spans="16:20">
      <c r="P134" t="s">
        <v>322</v>
      </c>
      <c r="Q134" t="s">
        <v>170</v>
      </c>
      <c r="R134" t="s">
        <v>159</v>
      </c>
      <c r="S134" t="s">
        <v>42</v>
      </c>
      <c r="T134" s="5">
        <v>11898</v>
      </c>
    </row>
    <row r="135" spans="16:20">
      <c r="P135" t="s">
        <v>323</v>
      </c>
      <c r="Q135" t="s">
        <v>170</v>
      </c>
      <c r="R135" t="s">
        <v>97</v>
      </c>
      <c r="S135" t="s">
        <v>35</v>
      </c>
      <c r="T135" s="5">
        <v>121614</v>
      </c>
    </row>
    <row r="136" spans="16:20">
      <c r="P136" t="s">
        <v>325</v>
      </c>
      <c r="Q136" t="s">
        <v>122</v>
      </c>
      <c r="R136" t="s">
        <v>51</v>
      </c>
      <c r="S136" t="s">
        <v>52</v>
      </c>
      <c r="T136" s="5">
        <v>12104</v>
      </c>
    </row>
    <row r="137" spans="16:20">
      <c r="P137" t="s">
        <v>327</v>
      </c>
      <c r="Q137" t="s">
        <v>129</v>
      </c>
      <c r="R137" t="s">
        <v>218</v>
      </c>
      <c r="S137" t="s">
        <v>17</v>
      </c>
      <c r="T137" s="5">
        <v>7080</v>
      </c>
    </row>
    <row r="138" spans="16:20">
      <c r="P138" t="s">
        <v>328</v>
      </c>
      <c r="Q138" t="s">
        <v>45</v>
      </c>
      <c r="R138" t="s">
        <v>41</v>
      </c>
      <c r="S138" t="s">
        <v>42</v>
      </c>
      <c r="T138" s="5">
        <v>15456</v>
      </c>
    </row>
    <row r="139" spans="16:20">
      <c r="P139" t="s">
        <v>329</v>
      </c>
      <c r="Q139" t="s">
        <v>33</v>
      </c>
      <c r="R139" t="s">
        <v>116</v>
      </c>
      <c r="S139" t="s">
        <v>17</v>
      </c>
      <c r="T139" s="5">
        <v>8652</v>
      </c>
    </row>
    <row r="140" spans="16:20">
      <c r="P140" t="s">
        <v>331</v>
      </c>
      <c r="Q140" t="s">
        <v>58</v>
      </c>
      <c r="R140" t="s">
        <v>90</v>
      </c>
      <c r="S140" t="s">
        <v>42</v>
      </c>
      <c r="T140" s="5">
        <v>11757</v>
      </c>
    </row>
    <row r="141" spans="16:20">
      <c r="P141" t="s">
        <v>333</v>
      </c>
      <c r="Q141" t="s">
        <v>45</v>
      </c>
      <c r="R141" t="s">
        <v>41</v>
      </c>
      <c r="S141" t="s">
        <v>42</v>
      </c>
      <c r="T141" s="5">
        <v>32886</v>
      </c>
    </row>
    <row r="142" spans="16:20">
      <c r="P142" t="s">
        <v>335</v>
      </c>
      <c r="Q142" t="s">
        <v>170</v>
      </c>
      <c r="R142" t="s">
        <v>116</v>
      </c>
      <c r="S142" t="s">
        <v>17</v>
      </c>
      <c r="T142" s="5">
        <v>4214</v>
      </c>
    </row>
    <row r="143" spans="16:20">
      <c r="P143" t="s">
        <v>337</v>
      </c>
      <c r="Q143" t="s">
        <v>112</v>
      </c>
      <c r="R143" t="s">
        <v>51</v>
      </c>
      <c r="S143" t="s">
        <v>52</v>
      </c>
      <c r="T143" s="5">
        <v>4040</v>
      </c>
    </row>
    <row r="144" spans="16:20">
      <c r="P144" t="s">
        <v>338</v>
      </c>
      <c r="Q144" t="s">
        <v>78</v>
      </c>
      <c r="R144" t="s">
        <v>46</v>
      </c>
      <c r="S144" t="s">
        <v>42</v>
      </c>
      <c r="T144" s="5">
        <v>27996</v>
      </c>
    </row>
    <row r="145" spans="16:20">
      <c r="P145" t="s">
        <v>339</v>
      </c>
      <c r="Q145" t="s">
        <v>50</v>
      </c>
      <c r="R145" t="s">
        <v>34</v>
      </c>
      <c r="S145" t="s">
        <v>35</v>
      </c>
      <c r="T145" s="5">
        <v>385744</v>
      </c>
    </row>
    <row r="146" spans="16:20">
      <c r="P146" t="s">
        <v>340</v>
      </c>
      <c r="Q146" t="s">
        <v>78</v>
      </c>
      <c r="R146" t="s">
        <v>218</v>
      </c>
      <c r="S146" t="s">
        <v>17</v>
      </c>
      <c r="T146" s="5">
        <v>7230</v>
      </c>
    </row>
    <row r="147" spans="16:20">
      <c r="P147" t="s">
        <v>341</v>
      </c>
      <c r="Q147" t="s">
        <v>170</v>
      </c>
      <c r="R147" t="s">
        <v>86</v>
      </c>
      <c r="S147" t="s">
        <v>17</v>
      </c>
      <c r="T147" s="5">
        <v>1671</v>
      </c>
    </row>
    <row r="148" spans="16:20">
      <c r="P148" t="s">
        <v>343</v>
      </c>
      <c r="Q148" t="s">
        <v>75</v>
      </c>
      <c r="R148" t="s">
        <v>147</v>
      </c>
      <c r="S148" t="s">
        <v>52</v>
      </c>
      <c r="T148" s="5">
        <v>6594</v>
      </c>
    </row>
    <row r="149" spans="16:20">
      <c r="P149" t="s">
        <v>345</v>
      </c>
      <c r="Q149" t="s">
        <v>170</v>
      </c>
      <c r="R149" t="s">
        <v>51</v>
      </c>
      <c r="S149" t="s">
        <v>52</v>
      </c>
      <c r="T149" s="5">
        <v>2279</v>
      </c>
    </row>
    <row r="150" spans="16:20">
      <c r="P150" t="s">
        <v>347</v>
      </c>
      <c r="Q150" t="s">
        <v>15</v>
      </c>
      <c r="R150" t="s">
        <v>51</v>
      </c>
      <c r="S150" t="s">
        <v>52</v>
      </c>
      <c r="T150" s="5">
        <v>6416</v>
      </c>
    </row>
    <row r="151" spans="16:20">
      <c r="P151" t="s">
        <v>349</v>
      </c>
      <c r="Q151" t="s">
        <v>72</v>
      </c>
      <c r="R151" t="s">
        <v>79</v>
      </c>
      <c r="S151" t="s">
        <v>26</v>
      </c>
      <c r="T151" s="5">
        <v>51569</v>
      </c>
    </row>
    <row r="152" spans="16:20">
      <c r="P152" t="s">
        <v>351</v>
      </c>
      <c r="Q152" t="s">
        <v>103</v>
      </c>
      <c r="R152" t="s">
        <v>218</v>
      </c>
      <c r="S152" t="s">
        <v>17</v>
      </c>
      <c r="T152" s="5">
        <v>4856</v>
      </c>
    </row>
    <row r="153" spans="16:20">
      <c r="P153" t="s">
        <v>353</v>
      </c>
      <c r="Q153" t="s">
        <v>129</v>
      </c>
      <c r="R153" t="s">
        <v>16</v>
      </c>
      <c r="S153" t="s">
        <v>17</v>
      </c>
      <c r="T153" s="5">
        <v>3135</v>
      </c>
    </row>
    <row r="154" spans="16:20">
      <c r="P154" t="s">
        <v>355</v>
      </c>
      <c r="Q154" t="s">
        <v>122</v>
      </c>
      <c r="R154" t="s">
        <v>51</v>
      </c>
      <c r="S154" t="s">
        <v>52</v>
      </c>
      <c r="T154" s="5">
        <v>14240</v>
      </c>
    </row>
    <row r="155" spans="16:20">
      <c r="P155" t="s">
        <v>357</v>
      </c>
      <c r="Q155" t="s">
        <v>170</v>
      </c>
      <c r="R155" t="s">
        <v>59</v>
      </c>
      <c r="S155" t="s">
        <v>26</v>
      </c>
      <c r="T155" s="5">
        <v>20366</v>
      </c>
    </row>
    <row r="156" spans="16:20">
      <c r="P156" t="s">
        <v>358</v>
      </c>
      <c r="Q156" t="s">
        <v>78</v>
      </c>
      <c r="R156" t="s">
        <v>51</v>
      </c>
      <c r="S156" t="s">
        <v>52</v>
      </c>
      <c r="T156" s="5">
        <v>16856</v>
      </c>
    </row>
    <row r="157" spans="16:20">
      <c r="P157" t="s">
        <v>360</v>
      </c>
      <c r="Q157" t="s">
        <v>75</v>
      </c>
      <c r="R157" t="s">
        <v>46</v>
      </c>
      <c r="S157" t="s">
        <v>42</v>
      </c>
      <c r="T157" s="5">
        <v>16680</v>
      </c>
    </row>
    <row r="158" spans="16:20">
      <c r="P158" t="s">
        <v>362</v>
      </c>
      <c r="Q158" t="s">
        <v>129</v>
      </c>
      <c r="R158" t="s">
        <v>159</v>
      </c>
      <c r="S158" t="s">
        <v>42</v>
      </c>
      <c r="T158" s="5">
        <v>26544</v>
      </c>
    </row>
    <row r="159" spans="16:20">
      <c r="P159" t="s">
        <v>364</v>
      </c>
      <c r="Q159" t="s">
        <v>122</v>
      </c>
      <c r="R159" t="s">
        <v>79</v>
      </c>
      <c r="S159" t="s">
        <v>26</v>
      </c>
      <c r="T159" s="5">
        <v>7748</v>
      </c>
    </row>
    <row r="160" spans="16:20">
      <c r="P160" t="s">
        <v>366</v>
      </c>
      <c r="Q160" t="s">
        <v>45</v>
      </c>
      <c r="R160" t="s">
        <v>34</v>
      </c>
      <c r="S160" t="s">
        <v>35</v>
      </c>
      <c r="T160" s="5">
        <v>83099</v>
      </c>
    </row>
    <row r="161" spans="16:20">
      <c r="P161" t="s">
        <v>368</v>
      </c>
      <c r="Q161" t="s">
        <v>122</v>
      </c>
      <c r="R161" t="s">
        <v>147</v>
      </c>
      <c r="S161" t="s">
        <v>52</v>
      </c>
      <c r="T161" s="5">
        <v>19680</v>
      </c>
    </row>
    <row r="162" spans="16:20">
      <c r="P162" t="s">
        <v>370</v>
      </c>
      <c r="Q162" t="s">
        <v>133</v>
      </c>
      <c r="R162" t="s">
        <v>109</v>
      </c>
      <c r="S162" t="s">
        <v>52</v>
      </c>
      <c r="T162" s="5">
        <v>5920</v>
      </c>
    </row>
    <row r="163" spans="16:20">
      <c r="P163" t="s">
        <v>372</v>
      </c>
      <c r="Q163" t="s">
        <v>122</v>
      </c>
      <c r="R163" t="s">
        <v>97</v>
      </c>
      <c r="S163" t="s">
        <v>35</v>
      </c>
      <c r="T163" s="5">
        <v>336066</v>
      </c>
    </row>
    <row r="164" spans="16:20">
      <c r="P164" t="s">
        <v>374</v>
      </c>
      <c r="Q164" t="s">
        <v>75</v>
      </c>
      <c r="R164" t="s">
        <v>41</v>
      </c>
      <c r="S164" t="s">
        <v>42</v>
      </c>
      <c r="T164" s="5">
        <v>27167</v>
      </c>
    </row>
    <row r="165" spans="16:20">
      <c r="P165" t="s">
        <v>375</v>
      </c>
      <c r="Q165" t="s">
        <v>125</v>
      </c>
      <c r="R165" t="s">
        <v>79</v>
      </c>
      <c r="S165" t="s">
        <v>26</v>
      </c>
      <c r="T165" s="5">
        <v>52130</v>
      </c>
    </row>
    <row r="166" spans="16:20">
      <c r="P166" t="s">
        <v>377</v>
      </c>
      <c r="Q166" t="s">
        <v>40</v>
      </c>
      <c r="R166" t="s">
        <v>86</v>
      </c>
      <c r="S166" t="s">
        <v>17</v>
      </c>
      <c r="T166" s="5">
        <v>2560</v>
      </c>
    </row>
    <row r="167" spans="16:20">
      <c r="P167" t="s">
        <v>378</v>
      </c>
      <c r="Q167" t="s">
        <v>33</v>
      </c>
      <c r="R167" t="s">
        <v>130</v>
      </c>
      <c r="S167" t="s">
        <v>35</v>
      </c>
      <c r="T167" s="5">
        <v>512296</v>
      </c>
    </row>
    <row r="168" spans="16:20">
      <c r="P168" t="s">
        <v>380</v>
      </c>
      <c r="Q168" t="s">
        <v>125</v>
      </c>
      <c r="R168" t="s">
        <v>218</v>
      </c>
      <c r="S168" t="s">
        <v>17</v>
      </c>
      <c r="T168" s="5">
        <v>6328</v>
      </c>
    </row>
    <row r="169" spans="16:20">
      <c r="P169" t="s">
        <v>382</v>
      </c>
      <c r="Q169" t="s">
        <v>112</v>
      </c>
      <c r="R169" t="s">
        <v>90</v>
      </c>
      <c r="S169" t="s">
        <v>42</v>
      </c>
      <c r="T169" s="5">
        <v>5538</v>
      </c>
    </row>
    <row r="170" spans="16:20">
      <c r="P170" t="s">
        <v>384</v>
      </c>
      <c r="Q170" t="s">
        <v>45</v>
      </c>
      <c r="R170" t="s">
        <v>116</v>
      </c>
      <c r="S170" t="s">
        <v>17</v>
      </c>
      <c r="T170" s="5">
        <v>1756</v>
      </c>
    </row>
    <row r="171" spans="16:20">
      <c r="P171" t="s">
        <v>386</v>
      </c>
      <c r="Q171" t="s">
        <v>112</v>
      </c>
      <c r="R171" t="s">
        <v>16</v>
      </c>
      <c r="S171" t="s">
        <v>17</v>
      </c>
      <c r="T171" s="5">
        <v>2268</v>
      </c>
    </row>
    <row r="172" spans="16:20">
      <c r="P172" t="s">
        <v>388</v>
      </c>
      <c r="Q172" t="s">
        <v>50</v>
      </c>
      <c r="R172" t="s">
        <v>16</v>
      </c>
      <c r="S172" t="s">
        <v>17</v>
      </c>
      <c r="T172" s="5">
        <v>2379</v>
      </c>
    </row>
    <row r="173" spans="16:20">
      <c r="P173" t="s">
        <v>389</v>
      </c>
      <c r="Q173" t="s">
        <v>33</v>
      </c>
      <c r="R173" t="s">
        <v>159</v>
      </c>
      <c r="S173" t="s">
        <v>42</v>
      </c>
      <c r="T173" s="5">
        <v>5860</v>
      </c>
    </row>
    <row r="174" spans="16:20">
      <c r="P174" t="s">
        <v>390</v>
      </c>
      <c r="Q174" t="s">
        <v>103</v>
      </c>
      <c r="R174" t="s">
        <v>116</v>
      </c>
      <c r="S174" t="s">
        <v>17</v>
      </c>
      <c r="T174" s="5">
        <v>8748</v>
      </c>
    </row>
    <row r="175" spans="16:20">
      <c r="P175" t="s">
        <v>392</v>
      </c>
      <c r="Q175" t="s">
        <v>24</v>
      </c>
      <c r="R175" t="s">
        <v>25</v>
      </c>
      <c r="S175" t="s">
        <v>26</v>
      </c>
      <c r="T175" s="5">
        <v>43950</v>
      </c>
    </row>
    <row r="176" spans="16:20">
      <c r="P176" t="s">
        <v>394</v>
      </c>
      <c r="Q176" t="s">
        <v>75</v>
      </c>
      <c r="R176" t="s">
        <v>59</v>
      </c>
      <c r="S176" t="s">
        <v>26</v>
      </c>
      <c r="T176" s="5">
        <v>5037</v>
      </c>
    </row>
    <row r="177" spans="16:20">
      <c r="P177" t="s">
        <v>395</v>
      </c>
      <c r="Q177" t="s">
        <v>75</v>
      </c>
      <c r="R177" t="s">
        <v>218</v>
      </c>
      <c r="S177" t="s">
        <v>17</v>
      </c>
      <c r="T177" s="5">
        <v>6136</v>
      </c>
    </row>
    <row r="178" spans="16:20">
      <c r="P178" t="s">
        <v>397</v>
      </c>
      <c r="Q178" t="s">
        <v>40</v>
      </c>
      <c r="R178" t="s">
        <v>16</v>
      </c>
      <c r="S178" t="s">
        <v>17</v>
      </c>
      <c r="T178" s="5">
        <v>3234</v>
      </c>
    </row>
    <row r="179" spans="16:20">
      <c r="P179" t="s">
        <v>399</v>
      </c>
      <c r="Q179" t="s">
        <v>75</v>
      </c>
      <c r="R179" t="s">
        <v>86</v>
      </c>
      <c r="S179" t="s">
        <v>17</v>
      </c>
      <c r="T179" s="5">
        <v>3546</v>
      </c>
    </row>
    <row r="180" spans="16:20">
      <c r="P180" t="s">
        <v>401</v>
      </c>
      <c r="Q180" t="s">
        <v>24</v>
      </c>
      <c r="R180" t="s">
        <v>41</v>
      </c>
      <c r="S180" t="s">
        <v>42</v>
      </c>
      <c r="T180" s="5">
        <v>18816</v>
      </c>
    </row>
    <row r="181" spans="16:20">
      <c r="P181" t="s">
        <v>403</v>
      </c>
      <c r="Q181" t="s">
        <v>129</v>
      </c>
      <c r="R181" t="s">
        <v>97</v>
      </c>
      <c r="S181" t="s">
        <v>35</v>
      </c>
      <c r="T181" s="5">
        <v>77340</v>
      </c>
    </row>
    <row r="182" spans="16:20">
      <c r="P182" t="s">
        <v>405</v>
      </c>
      <c r="Q182" t="s">
        <v>170</v>
      </c>
      <c r="R182" t="s">
        <v>79</v>
      </c>
      <c r="S182" t="s">
        <v>26</v>
      </c>
      <c r="T182" s="5">
        <v>12486</v>
      </c>
    </row>
    <row r="183" spans="16:20">
      <c r="P183" t="s">
        <v>407</v>
      </c>
      <c r="Q183" t="s">
        <v>40</v>
      </c>
      <c r="R183" t="s">
        <v>79</v>
      </c>
      <c r="S183" t="s">
        <v>26</v>
      </c>
      <c r="T183" s="5">
        <v>22260</v>
      </c>
    </row>
    <row r="184" spans="16:20">
      <c r="P184" t="s">
        <v>409</v>
      </c>
      <c r="Q184" t="s">
        <v>78</v>
      </c>
      <c r="R184" t="s">
        <v>97</v>
      </c>
      <c r="S184" t="s">
        <v>35</v>
      </c>
      <c r="T184" s="5">
        <v>534835</v>
      </c>
    </row>
    <row r="185" spans="16:20">
      <c r="P185" t="s">
        <v>410</v>
      </c>
      <c r="Q185" t="s">
        <v>133</v>
      </c>
      <c r="R185" t="s">
        <v>46</v>
      </c>
      <c r="S185" t="s">
        <v>42</v>
      </c>
      <c r="T185" s="5">
        <v>11776</v>
      </c>
    </row>
    <row r="186" spans="16:20">
      <c r="P186" t="s">
        <v>412</v>
      </c>
      <c r="Q186" t="s">
        <v>78</v>
      </c>
      <c r="R186" t="s">
        <v>69</v>
      </c>
      <c r="S186" t="s">
        <v>26</v>
      </c>
      <c r="T186" s="5">
        <v>9814</v>
      </c>
    </row>
    <row r="187" spans="16:20">
      <c r="P187" t="s">
        <v>414</v>
      </c>
      <c r="Q187" t="s">
        <v>122</v>
      </c>
      <c r="R187" t="s">
        <v>109</v>
      </c>
      <c r="S187" t="s">
        <v>52</v>
      </c>
      <c r="T187" s="5">
        <v>1886</v>
      </c>
    </row>
    <row r="188" spans="16:20">
      <c r="P188" t="s">
        <v>416</v>
      </c>
      <c r="Q188" t="s">
        <v>68</v>
      </c>
      <c r="R188" t="s">
        <v>97</v>
      </c>
      <c r="S188" t="s">
        <v>35</v>
      </c>
      <c r="T188" s="5">
        <v>197331</v>
      </c>
    </row>
    <row r="189" spans="16:20">
      <c r="P189" t="s">
        <v>417</v>
      </c>
      <c r="Q189" t="s">
        <v>170</v>
      </c>
      <c r="R189" t="s">
        <v>130</v>
      </c>
      <c r="S189" t="s">
        <v>35</v>
      </c>
      <c r="T189" s="5">
        <v>192608</v>
      </c>
    </row>
    <row r="190" spans="16:20">
      <c r="P190" t="s">
        <v>419</v>
      </c>
      <c r="Q190" t="s">
        <v>78</v>
      </c>
      <c r="R190" t="s">
        <v>16</v>
      </c>
      <c r="S190" t="s">
        <v>17</v>
      </c>
      <c r="T190" s="5">
        <v>3372</v>
      </c>
    </row>
    <row r="191" spans="16:20">
      <c r="P191" t="s">
        <v>421</v>
      </c>
      <c r="Q191" t="s">
        <v>15</v>
      </c>
      <c r="R191" t="s">
        <v>159</v>
      </c>
      <c r="S191" t="s">
        <v>42</v>
      </c>
      <c r="T191" s="5">
        <v>16212</v>
      </c>
    </row>
    <row r="192" spans="16:20">
      <c r="P192" t="s">
        <v>423</v>
      </c>
      <c r="Q192" t="s">
        <v>125</v>
      </c>
      <c r="R192" t="s">
        <v>113</v>
      </c>
      <c r="S192" t="s">
        <v>35</v>
      </c>
      <c r="T192" s="5">
        <v>100890</v>
      </c>
    </row>
    <row r="193" spans="16:20">
      <c r="P193" t="s">
        <v>425</v>
      </c>
      <c r="Q193" t="s">
        <v>45</v>
      </c>
      <c r="R193" t="s">
        <v>69</v>
      </c>
      <c r="S193" t="s">
        <v>26</v>
      </c>
      <c r="T193" s="5">
        <v>7252</v>
      </c>
    </row>
    <row r="194" spans="16:20">
      <c r="P194" t="s">
        <v>426</v>
      </c>
      <c r="Q194" t="s">
        <v>58</v>
      </c>
      <c r="R194" t="s">
        <v>113</v>
      </c>
      <c r="S194" t="s">
        <v>35</v>
      </c>
      <c r="T194" s="5">
        <v>257145</v>
      </c>
    </row>
    <row r="195" spans="16:20">
      <c r="P195" t="s">
        <v>428</v>
      </c>
      <c r="Q195" t="s">
        <v>129</v>
      </c>
      <c r="R195" t="s">
        <v>159</v>
      </c>
      <c r="S195" t="s">
        <v>42</v>
      </c>
      <c r="T195" s="5">
        <v>6696</v>
      </c>
    </row>
    <row r="196" spans="16:20">
      <c r="P196" t="s">
        <v>430</v>
      </c>
      <c r="Q196" t="s">
        <v>122</v>
      </c>
      <c r="R196" t="s">
        <v>51</v>
      </c>
      <c r="S196" t="s">
        <v>52</v>
      </c>
      <c r="T196" s="5">
        <v>18112</v>
      </c>
    </row>
    <row r="197" spans="16:20">
      <c r="P197" t="s">
        <v>431</v>
      </c>
      <c r="Q197" t="s">
        <v>78</v>
      </c>
      <c r="R197" t="s">
        <v>109</v>
      </c>
      <c r="S197" t="s">
        <v>52</v>
      </c>
      <c r="T197" s="5">
        <v>18224</v>
      </c>
    </row>
    <row r="198" spans="16:20">
      <c r="P198" t="s">
        <v>433</v>
      </c>
      <c r="Q198" t="s">
        <v>146</v>
      </c>
      <c r="R198" t="s">
        <v>79</v>
      </c>
      <c r="S198" t="s">
        <v>26</v>
      </c>
      <c r="T198" s="5">
        <v>16336</v>
      </c>
    </row>
    <row r="199" spans="16:20">
      <c r="P199" t="s">
        <v>435</v>
      </c>
      <c r="Q199" t="s">
        <v>45</v>
      </c>
      <c r="R199" t="s">
        <v>59</v>
      </c>
      <c r="S199" t="s">
        <v>26</v>
      </c>
      <c r="T199" s="5">
        <v>12404</v>
      </c>
    </row>
    <row r="200" spans="16:20">
      <c r="P200" t="s">
        <v>437</v>
      </c>
      <c r="Q200" t="s">
        <v>72</v>
      </c>
      <c r="R200" t="s">
        <v>130</v>
      </c>
      <c r="S200" t="s">
        <v>35</v>
      </c>
      <c r="T200" s="5">
        <v>101355</v>
      </c>
    </row>
    <row r="201" spans="16:20">
      <c r="P201" t="s">
        <v>438</v>
      </c>
      <c r="Q201" t="s">
        <v>50</v>
      </c>
      <c r="R201" t="s">
        <v>51</v>
      </c>
      <c r="S201" t="s">
        <v>52</v>
      </c>
      <c r="T201" s="5">
        <v>4050</v>
      </c>
    </row>
    <row r="202" spans="16:20">
      <c r="P202" t="s">
        <v>439</v>
      </c>
      <c r="Q202" t="s">
        <v>78</v>
      </c>
      <c r="R202" t="s">
        <v>90</v>
      </c>
      <c r="S202" t="s">
        <v>42</v>
      </c>
      <c r="T202" s="5">
        <v>5900</v>
      </c>
    </row>
    <row r="203" spans="16:20">
      <c r="P203" t="s">
        <v>441</v>
      </c>
      <c r="Q203" t="s">
        <v>170</v>
      </c>
      <c r="R203" t="s">
        <v>51</v>
      </c>
      <c r="S203" t="s">
        <v>52</v>
      </c>
      <c r="T203" s="5">
        <v>9798</v>
      </c>
    </row>
    <row r="204" spans="16:20">
      <c r="P204" t="s">
        <v>442</v>
      </c>
      <c r="Q204" t="s">
        <v>40</v>
      </c>
      <c r="R204" t="s">
        <v>116</v>
      </c>
      <c r="S204" t="s">
        <v>17</v>
      </c>
      <c r="T204" s="5">
        <v>1246</v>
      </c>
    </row>
    <row r="205" spans="16:20">
      <c r="P205" t="s">
        <v>443</v>
      </c>
      <c r="Q205" t="s">
        <v>133</v>
      </c>
      <c r="R205" t="s">
        <v>130</v>
      </c>
      <c r="S205" t="s">
        <v>35</v>
      </c>
      <c r="T205" s="5">
        <v>55722</v>
      </c>
    </row>
    <row r="206" spans="16:20">
      <c r="P206" t="s">
        <v>445</v>
      </c>
      <c r="Q206" t="s">
        <v>68</v>
      </c>
      <c r="R206" t="s">
        <v>86</v>
      </c>
      <c r="S206" t="s">
        <v>17</v>
      </c>
      <c r="T206" s="5">
        <v>1142</v>
      </c>
    </row>
    <row r="207" spans="16:20">
      <c r="P207" t="s">
        <v>447</v>
      </c>
      <c r="Q207" t="s">
        <v>50</v>
      </c>
      <c r="R207" t="s">
        <v>86</v>
      </c>
      <c r="S207" t="s">
        <v>17</v>
      </c>
      <c r="T207" s="5">
        <v>3592</v>
      </c>
    </row>
    <row r="208" spans="16:20">
      <c r="P208" t="s">
        <v>448</v>
      </c>
      <c r="Q208" t="s">
        <v>179</v>
      </c>
      <c r="R208" t="s">
        <v>25</v>
      </c>
      <c r="S208" t="s">
        <v>26</v>
      </c>
      <c r="T208" s="5">
        <v>9840</v>
      </c>
    </row>
    <row r="209" spans="16:20">
      <c r="P209" t="s">
        <v>449</v>
      </c>
      <c r="Q209" t="s">
        <v>15</v>
      </c>
      <c r="R209" t="s">
        <v>116</v>
      </c>
      <c r="S209" t="s">
        <v>17</v>
      </c>
      <c r="T209" s="5">
        <v>6608</v>
      </c>
    </row>
    <row r="210" spans="16:20">
      <c r="P210" t="s">
        <v>451</v>
      </c>
      <c r="Q210" t="s">
        <v>45</v>
      </c>
      <c r="R210" t="s">
        <v>79</v>
      </c>
      <c r="S210" t="s">
        <v>26</v>
      </c>
      <c r="T210" s="5">
        <v>35610</v>
      </c>
    </row>
    <row r="211" spans="16:20">
      <c r="P211" t="s">
        <v>453</v>
      </c>
      <c r="Q211" t="s">
        <v>15</v>
      </c>
      <c r="R211" t="s">
        <v>34</v>
      </c>
      <c r="S211" t="s">
        <v>35</v>
      </c>
      <c r="T211" s="5">
        <v>176015</v>
      </c>
    </row>
    <row r="212" spans="16:20">
      <c r="P212" t="s">
        <v>455</v>
      </c>
      <c r="Q212" t="s">
        <v>103</v>
      </c>
      <c r="R212" t="s">
        <v>116</v>
      </c>
      <c r="S212" t="s">
        <v>17</v>
      </c>
      <c r="T212" s="5">
        <v>7935</v>
      </c>
    </row>
    <row r="213" spans="16:20">
      <c r="P213" t="s">
        <v>457</v>
      </c>
      <c r="Q213" t="s">
        <v>133</v>
      </c>
      <c r="R213" t="s">
        <v>79</v>
      </c>
      <c r="S213" t="s">
        <v>26</v>
      </c>
      <c r="T213" s="5">
        <v>28254</v>
      </c>
    </row>
    <row r="214" spans="16:20">
      <c r="P214" t="s">
        <v>459</v>
      </c>
      <c r="Q214" t="s">
        <v>24</v>
      </c>
      <c r="R214" t="s">
        <v>34</v>
      </c>
      <c r="S214" t="s">
        <v>35</v>
      </c>
      <c r="T214" s="5">
        <v>3987</v>
      </c>
    </row>
    <row r="215" spans="16:20">
      <c r="P215" t="s">
        <v>461</v>
      </c>
      <c r="Q215" t="s">
        <v>146</v>
      </c>
      <c r="R215" t="s">
        <v>16</v>
      </c>
      <c r="S215" t="s">
        <v>17</v>
      </c>
      <c r="T215" s="5">
        <v>5999</v>
      </c>
    </row>
    <row r="216" spans="16:20">
      <c r="P216" t="s">
        <v>463</v>
      </c>
      <c r="Q216" t="s">
        <v>33</v>
      </c>
      <c r="R216" t="s">
        <v>159</v>
      </c>
      <c r="S216" t="s">
        <v>42</v>
      </c>
      <c r="T216" s="5">
        <v>4932</v>
      </c>
    </row>
    <row r="217" spans="16:20">
      <c r="P217" t="s">
        <v>464</v>
      </c>
      <c r="Q217" t="s">
        <v>170</v>
      </c>
      <c r="R217" t="s">
        <v>46</v>
      </c>
      <c r="S217" t="s">
        <v>42</v>
      </c>
      <c r="T217" s="5">
        <v>12405</v>
      </c>
    </row>
    <row r="218" spans="16:20">
      <c r="P218" t="s">
        <v>465</v>
      </c>
      <c r="Q218" t="s">
        <v>170</v>
      </c>
      <c r="R218" t="s">
        <v>16</v>
      </c>
      <c r="S218" t="s">
        <v>17</v>
      </c>
      <c r="T218" s="5">
        <v>5424</v>
      </c>
    </row>
    <row r="219" spans="16:20">
      <c r="P219" t="s">
        <v>466</v>
      </c>
      <c r="Q219" t="s">
        <v>78</v>
      </c>
      <c r="R219" t="s">
        <v>34</v>
      </c>
      <c r="S219" t="s">
        <v>35</v>
      </c>
      <c r="T219" s="5">
        <v>316535</v>
      </c>
    </row>
    <row r="220" spans="16:20">
      <c r="P220" t="s">
        <v>467</v>
      </c>
      <c r="Q220" t="s">
        <v>68</v>
      </c>
      <c r="R220" t="s">
        <v>41</v>
      </c>
      <c r="S220" t="s">
        <v>42</v>
      </c>
      <c r="T220" s="5">
        <v>4266</v>
      </c>
    </row>
    <row r="221" spans="16:20">
      <c r="P221" t="s">
        <v>469</v>
      </c>
      <c r="Q221" t="s">
        <v>146</v>
      </c>
      <c r="R221" t="s">
        <v>41</v>
      </c>
      <c r="S221" t="s">
        <v>42</v>
      </c>
      <c r="T221" s="5">
        <v>24785</v>
      </c>
    </row>
    <row r="222" spans="16:20">
      <c r="P222" t="s">
        <v>471</v>
      </c>
      <c r="Q222" t="s">
        <v>50</v>
      </c>
      <c r="R222" t="s">
        <v>79</v>
      </c>
      <c r="S222" t="s">
        <v>26</v>
      </c>
      <c r="T222" s="5">
        <v>32753</v>
      </c>
    </row>
    <row r="223" spans="16:20">
      <c r="P223" t="s">
        <v>473</v>
      </c>
      <c r="Q223" t="s">
        <v>146</v>
      </c>
      <c r="R223" t="s">
        <v>46</v>
      </c>
      <c r="S223" t="s">
        <v>42</v>
      </c>
      <c r="T223" s="5">
        <v>3184</v>
      </c>
    </row>
    <row r="224" spans="16:20">
      <c r="P224" t="s">
        <v>474</v>
      </c>
      <c r="Q224" t="s">
        <v>45</v>
      </c>
      <c r="R224" t="s">
        <v>59</v>
      </c>
      <c r="S224" t="s">
        <v>26</v>
      </c>
      <c r="T224" s="5">
        <v>18248</v>
      </c>
    </row>
    <row r="225" spans="16:20">
      <c r="P225" t="s">
        <v>476</v>
      </c>
      <c r="Q225" t="s">
        <v>15</v>
      </c>
      <c r="R225" t="s">
        <v>147</v>
      </c>
      <c r="S225" t="s">
        <v>52</v>
      </c>
      <c r="T225" s="5">
        <v>7492</v>
      </c>
    </row>
    <row r="226" spans="16:20">
      <c r="P226" t="s">
        <v>478</v>
      </c>
      <c r="Q226" t="s">
        <v>129</v>
      </c>
      <c r="R226" t="s">
        <v>116</v>
      </c>
      <c r="S226" t="s">
        <v>17</v>
      </c>
      <c r="T226" s="5">
        <v>1644</v>
      </c>
    </row>
    <row r="227" spans="16:20">
      <c r="P227" t="s">
        <v>479</v>
      </c>
      <c r="Q227" t="s">
        <v>33</v>
      </c>
      <c r="R227" t="s">
        <v>16</v>
      </c>
      <c r="S227" t="s">
        <v>17</v>
      </c>
      <c r="T227" s="5">
        <v>6488</v>
      </c>
    </row>
    <row r="228" spans="16:20">
      <c r="P228" t="s">
        <v>481</v>
      </c>
      <c r="Q228" t="s">
        <v>33</v>
      </c>
      <c r="R228" t="s">
        <v>41</v>
      </c>
      <c r="S228" t="s">
        <v>42</v>
      </c>
      <c r="T228" s="5">
        <v>15631</v>
      </c>
    </row>
    <row r="229" spans="16:20">
      <c r="P229" t="s">
        <v>483</v>
      </c>
      <c r="Q229" t="s">
        <v>78</v>
      </c>
      <c r="R229" t="s">
        <v>90</v>
      </c>
      <c r="S229" t="s">
        <v>42</v>
      </c>
      <c r="T229" s="5">
        <v>30696</v>
      </c>
    </row>
    <row r="230" spans="16:20">
      <c r="P230" t="s">
        <v>484</v>
      </c>
      <c r="Q230" t="s">
        <v>103</v>
      </c>
      <c r="R230" t="s">
        <v>90</v>
      </c>
      <c r="S230" t="s">
        <v>42</v>
      </c>
      <c r="T230" s="5">
        <v>5478</v>
      </c>
    </row>
    <row r="231" spans="16:20">
      <c r="P231" t="s">
        <v>486</v>
      </c>
      <c r="Q231" t="s">
        <v>58</v>
      </c>
      <c r="R231" t="s">
        <v>79</v>
      </c>
      <c r="S231" t="s">
        <v>26</v>
      </c>
      <c r="T231" s="5">
        <v>3432</v>
      </c>
    </row>
    <row r="232" spans="16:20">
      <c r="P232" t="s">
        <v>488</v>
      </c>
      <c r="Q232" t="s">
        <v>58</v>
      </c>
      <c r="R232" t="s">
        <v>63</v>
      </c>
      <c r="S232" t="s">
        <v>52</v>
      </c>
      <c r="T232" s="5">
        <v>10314</v>
      </c>
    </row>
    <row r="233" spans="16:20">
      <c r="P233" t="s">
        <v>490</v>
      </c>
      <c r="Q233" t="s">
        <v>170</v>
      </c>
      <c r="R233" t="s">
        <v>51</v>
      </c>
      <c r="S233" t="s">
        <v>52</v>
      </c>
      <c r="T233" s="5">
        <v>2404</v>
      </c>
    </row>
    <row r="234" spans="16:20">
      <c r="P234" t="s">
        <v>492</v>
      </c>
      <c r="Q234" t="s">
        <v>75</v>
      </c>
      <c r="R234" t="s">
        <v>34</v>
      </c>
      <c r="S234" t="s">
        <v>35</v>
      </c>
      <c r="T234" s="5">
        <v>79388</v>
      </c>
    </row>
    <row r="235" spans="16:20">
      <c r="P235" t="s">
        <v>494</v>
      </c>
      <c r="Q235" t="s">
        <v>122</v>
      </c>
      <c r="R235" t="s">
        <v>130</v>
      </c>
      <c r="S235" t="s">
        <v>35</v>
      </c>
      <c r="T235" s="5">
        <v>199074</v>
      </c>
    </row>
    <row r="236" spans="16:20">
      <c r="P236" t="s">
        <v>495</v>
      </c>
      <c r="Q236" t="s">
        <v>45</v>
      </c>
      <c r="R236" t="s">
        <v>130</v>
      </c>
      <c r="S236" t="s">
        <v>35</v>
      </c>
      <c r="T236" s="5">
        <v>232746</v>
      </c>
    </row>
    <row r="237" spans="16:20">
      <c r="P237" t="s">
        <v>496</v>
      </c>
      <c r="Q237" t="s">
        <v>146</v>
      </c>
      <c r="R237" t="s">
        <v>109</v>
      </c>
      <c r="S237" t="s">
        <v>52</v>
      </c>
      <c r="T237" s="5">
        <v>6232</v>
      </c>
    </row>
    <row r="238" spans="16:20">
      <c r="P238" t="s">
        <v>497</v>
      </c>
      <c r="Q238" t="s">
        <v>133</v>
      </c>
      <c r="R238" t="s">
        <v>147</v>
      </c>
      <c r="S238" t="s">
        <v>52</v>
      </c>
      <c r="T238" s="5">
        <v>1275</v>
      </c>
    </row>
    <row r="239" spans="16:20">
      <c r="P239" t="s">
        <v>498</v>
      </c>
      <c r="Q239" t="s">
        <v>40</v>
      </c>
      <c r="R239" t="s">
        <v>69</v>
      </c>
      <c r="S239" t="s">
        <v>26</v>
      </c>
      <c r="T239" s="5">
        <v>16056</v>
      </c>
    </row>
    <row r="240" spans="16:20">
      <c r="P240" t="s">
        <v>499</v>
      </c>
      <c r="Q240" t="s">
        <v>15</v>
      </c>
      <c r="R240" t="s">
        <v>16</v>
      </c>
      <c r="S240" t="s">
        <v>17</v>
      </c>
      <c r="T240" s="5">
        <v>3204</v>
      </c>
    </row>
    <row r="241" spans="16:20">
      <c r="P241" t="s">
        <v>500</v>
      </c>
      <c r="Q241" t="s">
        <v>40</v>
      </c>
      <c r="R241" t="s">
        <v>147</v>
      </c>
      <c r="S241" t="s">
        <v>52</v>
      </c>
      <c r="T241" s="5">
        <v>6168</v>
      </c>
    </row>
    <row r="242" spans="16:20">
      <c r="P242" t="s">
        <v>501</v>
      </c>
      <c r="Q242" t="s">
        <v>179</v>
      </c>
      <c r="R242" t="s">
        <v>90</v>
      </c>
      <c r="S242" t="s">
        <v>42</v>
      </c>
      <c r="T242" s="5">
        <v>1417</v>
      </c>
    </row>
    <row r="243" spans="16:20">
      <c r="P243" t="s">
        <v>502</v>
      </c>
      <c r="Q243" t="s">
        <v>75</v>
      </c>
      <c r="R243" t="s">
        <v>109</v>
      </c>
      <c r="S243" t="s">
        <v>52</v>
      </c>
      <c r="T243" s="5">
        <v>12104</v>
      </c>
    </row>
    <row r="244" spans="16:20">
      <c r="P244" t="s">
        <v>504</v>
      </c>
      <c r="Q244" t="s">
        <v>58</v>
      </c>
      <c r="R244" t="s">
        <v>97</v>
      </c>
      <c r="S244" t="s">
        <v>35</v>
      </c>
      <c r="T244" s="5">
        <v>111030</v>
      </c>
    </row>
    <row r="245" spans="16:20">
      <c r="P245" t="s">
        <v>506</v>
      </c>
      <c r="Q245" t="s">
        <v>78</v>
      </c>
      <c r="R245" t="s">
        <v>218</v>
      </c>
      <c r="S245" t="s">
        <v>17</v>
      </c>
      <c r="T245" s="5">
        <v>10549</v>
      </c>
    </row>
    <row r="246" spans="16:20">
      <c r="P246" t="s">
        <v>508</v>
      </c>
      <c r="Q246" t="s">
        <v>68</v>
      </c>
      <c r="R246" t="s">
        <v>46</v>
      </c>
      <c r="S246" t="s">
        <v>42</v>
      </c>
      <c r="T246" s="5">
        <v>37653</v>
      </c>
    </row>
    <row r="247" spans="16:20">
      <c r="P247" t="s">
        <v>509</v>
      </c>
      <c r="Q247" t="s">
        <v>170</v>
      </c>
      <c r="R247" t="s">
        <v>63</v>
      </c>
      <c r="S247" t="s">
        <v>52</v>
      </c>
      <c r="T247" s="5">
        <v>570</v>
      </c>
    </row>
    <row r="248" spans="16:20">
      <c r="P248" t="s">
        <v>511</v>
      </c>
      <c r="Q248" t="s">
        <v>68</v>
      </c>
      <c r="R248" t="s">
        <v>90</v>
      </c>
      <c r="S248" t="s">
        <v>42</v>
      </c>
      <c r="T248" s="5">
        <v>4806</v>
      </c>
    </row>
    <row r="249" spans="16:20">
      <c r="P249" t="s">
        <v>512</v>
      </c>
      <c r="Q249" t="s">
        <v>58</v>
      </c>
      <c r="R249" t="s">
        <v>25</v>
      </c>
      <c r="S249" t="s">
        <v>26</v>
      </c>
      <c r="T249" s="5">
        <v>10254</v>
      </c>
    </row>
    <row r="250" spans="16:20">
      <c r="P250" t="s">
        <v>513</v>
      </c>
      <c r="Q250" t="s">
        <v>125</v>
      </c>
      <c r="R250" t="s">
        <v>109</v>
      </c>
      <c r="S250" t="s">
        <v>52</v>
      </c>
      <c r="T250" s="5">
        <v>5685</v>
      </c>
    </row>
    <row r="251" spans="16:20">
      <c r="P251" t="s">
        <v>515</v>
      </c>
      <c r="Q251" t="s">
        <v>170</v>
      </c>
      <c r="R251" t="s">
        <v>130</v>
      </c>
      <c r="S251" t="s">
        <v>35</v>
      </c>
      <c r="T251" s="5">
        <v>161890</v>
      </c>
    </row>
    <row r="252" spans="16:20">
      <c r="P252" t="s">
        <v>517</v>
      </c>
      <c r="Q252" t="s">
        <v>40</v>
      </c>
      <c r="R252" t="s">
        <v>51</v>
      </c>
      <c r="S252" t="s">
        <v>52</v>
      </c>
      <c r="T252" s="5">
        <v>16555</v>
      </c>
    </row>
    <row r="253" spans="16:20">
      <c r="P253" t="s">
        <v>518</v>
      </c>
      <c r="Q253" t="s">
        <v>179</v>
      </c>
      <c r="R253" t="s">
        <v>25</v>
      </c>
      <c r="S253" t="s">
        <v>26</v>
      </c>
      <c r="T253" s="5">
        <v>33112</v>
      </c>
    </row>
    <row r="254" spans="16:20">
      <c r="P254" t="s">
        <v>520</v>
      </c>
      <c r="Q254" t="s">
        <v>125</v>
      </c>
      <c r="R254" t="s">
        <v>69</v>
      </c>
      <c r="S254" t="s">
        <v>26</v>
      </c>
      <c r="T254" s="5">
        <v>17616</v>
      </c>
    </row>
    <row r="255" spans="16:20">
      <c r="P255" t="s">
        <v>522</v>
      </c>
      <c r="Q255" t="s">
        <v>122</v>
      </c>
      <c r="R255" t="s">
        <v>109</v>
      </c>
      <c r="S255" t="s">
        <v>52</v>
      </c>
      <c r="T255" s="5">
        <v>724</v>
      </c>
    </row>
    <row r="256" spans="16:20">
      <c r="P256" t="s">
        <v>524</v>
      </c>
      <c r="Q256" t="s">
        <v>122</v>
      </c>
      <c r="R256" t="s">
        <v>97</v>
      </c>
      <c r="S256" t="s">
        <v>35</v>
      </c>
      <c r="T256" s="5">
        <v>64640</v>
      </c>
    </row>
    <row r="257" spans="16:20">
      <c r="P257" t="s">
        <v>526</v>
      </c>
      <c r="Q257" t="s">
        <v>58</v>
      </c>
      <c r="R257" t="s">
        <v>90</v>
      </c>
      <c r="S257" t="s">
        <v>42</v>
      </c>
      <c r="T257" s="5">
        <v>25400</v>
      </c>
    </row>
    <row r="258" spans="16:20">
      <c r="P258" t="s">
        <v>528</v>
      </c>
      <c r="Q258" t="s">
        <v>103</v>
      </c>
      <c r="R258" t="s">
        <v>59</v>
      </c>
      <c r="S258" t="s">
        <v>26</v>
      </c>
      <c r="T258" s="5">
        <v>22590</v>
      </c>
    </row>
    <row r="259" spans="16:20">
      <c r="P259" t="s">
        <v>529</v>
      </c>
      <c r="Q259" t="s">
        <v>103</v>
      </c>
      <c r="R259" t="s">
        <v>63</v>
      </c>
      <c r="S259" t="s">
        <v>52</v>
      </c>
      <c r="T259" s="5">
        <v>10913</v>
      </c>
    </row>
    <row r="260" spans="16:20">
      <c r="P260" t="s">
        <v>531</v>
      </c>
      <c r="Q260" t="s">
        <v>78</v>
      </c>
      <c r="R260" t="s">
        <v>86</v>
      </c>
      <c r="S260" t="s">
        <v>17</v>
      </c>
      <c r="T260" s="5">
        <v>6820</v>
      </c>
    </row>
    <row r="261" spans="16:20">
      <c r="P261" t="s">
        <v>532</v>
      </c>
      <c r="Q261" t="s">
        <v>133</v>
      </c>
      <c r="R261" t="s">
        <v>159</v>
      </c>
      <c r="S261" t="s">
        <v>42</v>
      </c>
      <c r="T261" s="5">
        <v>7560</v>
      </c>
    </row>
    <row r="262" spans="16:20">
      <c r="P262" t="s">
        <v>534</v>
      </c>
      <c r="Q262" t="s">
        <v>112</v>
      </c>
      <c r="R262" t="s">
        <v>59</v>
      </c>
      <c r="S262" t="s">
        <v>26</v>
      </c>
      <c r="T262" s="5">
        <v>21936</v>
      </c>
    </row>
    <row r="263" spans="16:20">
      <c r="P263" t="s">
        <v>535</v>
      </c>
      <c r="Q263" t="s">
        <v>75</v>
      </c>
      <c r="R263" t="s">
        <v>41</v>
      </c>
      <c r="S263" t="s">
        <v>42</v>
      </c>
      <c r="T263" s="5">
        <v>16092</v>
      </c>
    </row>
    <row r="264" spans="16:20">
      <c r="P264" t="s">
        <v>537</v>
      </c>
      <c r="Q264" t="s">
        <v>72</v>
      </c>
      <c r="R264" t="s">
        <v>113</v>
      </c>
      <c r="S264" t="s">
        <v>35</v>
      </c>
      <c r="T264" s="5">
        <v>196792</v>
      </c>
    </row>
    <row r="265" spans="16:20">
      <c r="P265" t="s">
        <v>539</v>
      </c>
      <c r="Q265" t="s">
        <v>112</v>
      </c>
      <c r="R265" t="s">
        <v>90</v>
      </c>
      <c r="S265" t="s">
        <v>42</v>
      </c>
      <c r="T265" s="5">
        <v>16331</v>
      </c>
    </row>
    <row r="266" spans="16:20">
      <c r="P266" t="s">
        <v>540</v>
      </c>
      <c r="Q266" t="s">
        <v>75</v>
      </c>
      <c r="R266" t="s">
        <v>63</v>
      </c>
      <c r="S266" t="s">
        <v>52</v>
      </c>
      <c r="T266" s="5">
        <v>4668</v>
      </c>
    </row>
    <row r="267" spans="16:20">
      <c r="P267" t="s">
        <v>541</v>
      </c>
      <c r="Q267" t="s">
        <v>15</v>
      </c>
      <c r="R267" t="s">
        <v>46</v>
      </c>
      <c r="S267" t="s">
        <v>42</v>
      </c>
      <c r="T267" s="5">
        <v>6729</v>
      </c>
    </row>
    <row r="268" spans="16:20">
      <c r="P268" t="s">
        <v>542</v>
      </c>
      <c r="Q268" t="s">
        <v>45</v>
      </c>
      <c r="R268" t="s">
        <v>147</v>
      </c>
      <c r="S268" t="s">
        <v>52</v>
      </c>
      <c r="T268" s="5">
        <v>5253</v>
      </c>
    </row>
    <row r="269" spans="16:20">
      <c r="P269" t="s">
        <v>544</v>
      </c>
      <c r="Q269" t="s">
        <v>15</v>
      </c>
      <c r="R269" t="s">
        <v>16</v>
      </c>
      <c r="S269" t="s">
        <v>17</v>
      </c>
      <c r="T269" s="5">
        <v>8624</v>
      </c>
    </row>
    <row r="270" spans="16:20">
      <c r="P270" t="s">
        <v>546</v>
      </c>
      <c r="Q270" t="s">
        <v>125</v>
      </c>
      <c r="R270" t="s">
        <v>59</v>
      </c>
      <c r="S270" t="s">
        <v>26</v>
      </c>
      <c r="T270" s="5">
        <v>8184</v>
      </c>
    </row>
    <row r="271" spans="16:20">
      <c r="P271" t="s">
        <v>548</v>
      </c>
      <c r="Q271" t="s">
        <v>170</v>
      </c>
      <c r="R271" t="s">
        <v>79</v>
      </c>
      <c r="S271" t="s">
        <v>26</v>
      </c>
      <c r="T271" s="5">
        <v>62524</v>
      </c>
    </row>
    <row r="272" spans="16:20">
      <c r="P272" t="s">
        <v>550</v>
      </c>
      <c r="Q272" t="s">
        <v>146</v>
      </c>
      <c r="R272" t="s">
        <v>16</v>
      </c>
      <c r="S272" t="s">
        <v>17</v>
      </c>
      <c r="T272" s="5">
        <v>4840</v>
      </c>
    </row>
    <row r="273" spans="16:20">
      <c r="P273" t="s">
        <v>551</v>
      </c>
      <c r="Q273" t="s">
        <v>15</v>
      </c>
      <c r="R273" t="s">
        <v>16</v>
      </c>
      <c r="S273" t="s">
        <v>17</v>
      </c>
      <c r="T273" s="5">
        <v>895</v>
      </c>
    </row>
    <row r="274" spans="16:20">
      <c r="P274" t="s">
        <v>552</v>
      </c>
      <c r="Q274" t="s">
        <v>103</v>
      </c>
      <c r="R274" t="s">
        <v>97</v>
      </c>
      <c r="S274" t="s">
        <v>35</v>
      </c>
      <c r="T274" s="5">
        <v>237105</v>
      </c>
    </row>
    <row r="275" spans="16:20">
      <c r="P275" t="s">
        <v>553</v>
      </c>
      <c r="Q275" t="s">
        <v>24</v>
      </c>
      <c r="R275" t="s">
        <v>147</v>
      </c>
      <c r="S275" t="s">
        <v>52</v>
      </c>
      <c r="T275" s="5">
        <v>674</v>
      </c>
    </row>
    <row r="276" spans="16:20">
      <c r="P276" t="s">
        <v>554</v>
      </c>
      <c r="Q276" t="s">
        <v>170</v>
      </c>
      <c r="R276" t="s">
        <v>25</v>
      </c>
      <c r="S276" t="s">
        <v>26</v>
      </c>
      <c r="T276" s="5">
        <v>24060</v>
      </c>
    </row>
    <row r="277" spans="16:20">
      <c r="P277" t="s">
        <v>556</v>
      </c>
      <c r="Q277" t="s">
        <v>15</v>
      </c>
      <c r="R277" t="s">
        <v>25</v>
      </c>
      <c r="S277" t="s">
        <v>26</v>
      </c>
      <c r="T277" s="5">
        <v>39788</v>
      </c>
    </row>
    <row r="278" spans="16:20">
      <c r="P278" t="s">
        <v>558</v>
      </c>
      <c r="Q278" t="s">
        <v>50</v>
      </c>
      <c r="R278" t="s">
        <v>159</v>
      </c>
      <c r="S278" t="s">
        <v>42</v>
      </c>
      <c r="T278" s="5">
        <v>23824</v>
      </c>
    </row>
    <row r="279" spans="16:20">
      <c r="P279" t="s">
        <v>560</v>
      </c>
      <c r="Q279" t="s">
        <v>133</v>
      </c>
      <c r="R279" t="s">
        <v>90</v>
      </c>
      <c r="S279" t="s">
        <v>42</v>
      </c>
      <c r="T279" s="5">
        <v>38192</v>
      </c>
    </row>
    <row r="280" spans="16:20">
      <c r="P280" t="s">
        <v>562</v>
      </c>
      <c r="Q280" t="s">
        <v>170</v>
      </c>
      <c r="R280" t="s">
        <v>59</v>
      </c>
      <c r="S280" t="s">
        <v>26</v>
      </c>
      <c r="T280" s="5">
        <v>6756</v>
      </c>
    </row>
    <row r="281" spans="16:20">
      <c r="P281" t="s">
        <v>563</v>
      </c>
      <c r="Q281" t="s">
        <v>68</v>
      </c>
      <c r="R281" t="s">
        <v>41</v>
      </c>
      <c r="S281" t="s">
        <v>42</v>
      </c>
      <c r="T281" s="5">
        <v>23560</v>
      </c>
    </row>
    <row r="282" spans="16:20">
      <c r="P282" t="s">
        <v>565</v>
      </c>
      <c r="Q282" t="s">
        <v>170</v>
      </c>
      <c r="R282" t="s">
        <v>51</v>
      </c>
      <c r="S282" t="s">
        <v>52</v>
      </c>
      <c r="T282" s="5">
        <v>5260</v>
      </c>
    </row>
    <row r="283" spans="16:20">
      <c r="P283" t="s">
        <v>566</v>
      </c>
      <c r="Q283" t="s">
        <v>78</v>
      </c>
      <c r="R283" t="s">
        <v>25</v>
      </c>
      <c r="S283" t="s">
        <v>26</v>
      </c>
      <c r="T283" s="5">
        <v>6968</v>
      </c>
    </row>
    <row r="284" spans="16:20">
      <c r="P284" t="s">
        <v>567</v>
      </c>
      <c r="Q284" t="s">
        <v>103</v>
      </c>
      <c r="R284" t="s">
        <v>79</v>
      </c>
      <c r="S284" t="s">
        <v>26</v>
      </c>
      <c r="T284" s="5">
        <v>15318</v>
      </c>
    </row>
    <row r="285" spans="16:20">
      <c r="P285" t="s">
        <v>568</v>
      </c>
      <c r="Q285" t="s">
        <v>179</v>
      </c>
      <c r="R285" t="s">
        <v>159</v>
      </c>
      <c r="S285" t="s">
        <v>42</v>
      </c>
      <c r="T285" s="5">
        <v>36309</v>
      </c>
    </row>
    <row r="286" spans="16:20">
      <c r="P286" t="s">
        <v>569</v>
      </c>
      <c r="Q286" t="s">
        <v>78</v>
      </c>
      <c r="R286" t="s">
        <v>63</v>
      </c>
      <c r="S286" t="s">
        <v>52</v>
      </c>
      <c r="T286" s="5">
        <v>4332</v>
      </c>
    </row>
    <row r="287" spans="16:20">
      <c r="P287" t="s">
        <v>571</v>
      </c>
      <c r="Q287" t="s">
        <v>40</v>
      </c>
      <c r="R287" t="s">
        <v>25</v>
      </c>
      <c r="S287" t="s">
        <v>26</v>
      </c>
      <c r="T287" s="5">
        <v>36218</v>
      </c>
    </row>
    <row r="288" spans="16:20">
      <c r="P288" t="s">
        <v>572</v>
      </c>
      <c r="Q288" t="s">
        <v>78</v>
      </c>
      <c r="R288" t="s">
        <v>218</v>
      </c>
      <c r="S288" t="s">
        <v>17</v>
      </c>
      <c r="T288" s="5">
        <v>1034</v>
      </c>
    </row>
    <row r="289" spans="16:20">
      <c r="P289" t="s">
        <v>574</v>
      </c>
      <c r="Q289" t="s">
        <v>45</v>
      </c>
      <c r="R289" t="s">
        <v>116</v>
      </c>
      <c r="S289" t="s">
        <v>17</v>
      </c>
      <c r="T289" s="5">
        <v>11921</v>
      </c>
    </row>
    <row r="290" spans="16:20">
      <c r="P290" t="s">
        <v>575</v>
      </c>
      <c r="Q290" t="s">
        <v>50</v>
      </c>
      <c r="R290" t="s">
        <v>79</v>
      </c>
      <c r="S290" t="s">
        <v>26</v>
      </c>
      <c r="T290" s="5">
        <v>18235</v>
      </c>
    </row>
    <row r="291" spans="16:20">
      <c r="P291" t="s">
        <v>577</v>
      </c>
      <c r="Q291" t="s">
        <v>33</v>
      </c>
      <c r="R291" t="s">
        <v>59</v>
      </c>
      <c r="S291" t="s">
        <v>26</v>
      </c>
      <c r="T291" s="5">
        <v>25320</v>
      </c>
    </row>
    <row r="292" spans="16:20">
      <c r="P292" t="s">
        <v>578</v>
      </c>
      <c r="Q292" t="s">
        <v>133</v>
      </c>
      <c r="R292" t="s">
        <v>59</v>
      </c>
      <c r="S292" t="s">
        <v>26</v>
      </c>
      <c r="T292" s="5">
        <v>22872</v>
      </c>
    </row>
    <row r="293" spans="16:20">
      <c r="P293" t="s">
        <v>580</v>
      </c>
      <c r="Q293" t="s">
        <v>68</v>
      </c>
      <c r="R293" t="s">
        <v>34</v>
      </c>
      <c r="S293" t="s">
        <v>35</v>
      </c>
      <c r="T293" s="5">
        <v>245874</v>
      </c>
    </row>
    <row r="294" spans="16:20">
      <c r="P294" t="s">
        <v>582</v>
      </c>
      <c r="Q294" t="s">
        <v>112</v>
      </c>
      <c r="R294" t="s">
        <v>63</v>
      </c>
      <c r="S294" t="s">
        <v>52</v>
      </c>
      <c r="T294" s="5">
        <v>4284</v>
      </c>
    </row>
    <row r="295" spans="16:20">
      <c r="P295" t="s">
        <v>584</v>
      </c>
      <c r="Q295" t="s">
        <v>75</v>
      </c>
      <c r="R295" t="s">
        <v>218</v>
      </c>
      <c r="S295" t="s">
        <v>17</v>
      </c>
      <c r="T295" s="5">
        <v>3824</v>
      </c>
    </row>
    <row r="296" spans="16:20">
      <c r="P296" t="s">
        <v>586</v>
      </c>
      <c r="Q296" t="s">
        <v>75</v>
      </c>
      <c r="R296" t="s">
        <v>86</v>
      </c>
      <c r="S296" t="s">
        <v>17</v>
      </c>
      <c r="T296" s="5">
        <v>11368</v>
      </c>
    </row>
    <row r="297" spans="16:20">
      <c r="P297" t="s">
        <v>588</v>
      </c>
      <c r="Q297" t="s">
        <v>15</v>
      </c>
      <c r="R297" t="s">
        <v>165</v>
      </c>
      <c r="S297" t="s">
        <v>35</v>
      </c>
      <c r="T297" s="5">
        <v>213440</v>
      </c>
    </row>
    <row r="298" spans="16:20">
      <c r="P298" t="s">
        <v>590</v>
      </c>
      <c r="Q298" t="s">
        <v>45</v>
      </c>
      <c r="R298" t="s">
        <v>25</v>
      </c>
      <c r="S298" t="s">
        <v>26</v>
      </c>
      <c r="T298" s="5">
        <v>2538</v>
      </c>
    </row>
    <row r="299" spans="16:20">
      <c r="P299" t="s">
        <v>591</v>
      </c>
      <c r="Q299" t="s">
        <v>72</v>
      </c>
      <c r="R299" t="s">
        <v>90</v>
      </c>
      <c r="S299" t="s">
        <v>42</v>
      </c>
      <c r="T299" s="5">
        <v>2501</v>
      </c>
    </row>
    <row r="300" spans="16:20">
      <c r="P300" t="s">
        <v>592</v>
      </c>
      <c r="Q300" t="s">
        <v>179</v>
      </c>
      <c r="R300" t="s">
        <v>79</v>
      </c>
      <c r="S300" t="s">
        <v>26</v>
      </c>
      <c r="T300" s="5">
        <v>2194</v>
      </c>
    </row>
    <row r="301" spans="16:20">
      <c r="P301" t="s">
        <v>594</v>
      </c>
      <c r="Q301" t="s">
        <v>78</v>
      </c>
      <c r="R301" t="s">
        <v>63</v>
      </c>
      <c r="S301" t="s">
        <v>52</v>
      </c>
      <c r="T301" s="5">
        <v>3595</v>
      </c>
    </row>
    <row r="302" spans="16:20">
      <c r="P302" t="s">
        <v>596</v>
      </c>
      <c r="Q302" t="s">
        <v>179</v>
      </c>
      <c r="R302" t="s">
        <v>113</v>
      </c>
      <c r="S302" t="s">
        <v>35</v>
      </c>
      <c r="T302" s="5">
        <v>154440</v>
      </c>
    </row>
    <row r="303" spans="16:20">
      <c r="P303" t="s">
        <v>598</v>
      </c>
      <c r="Q303" t="s">
        <v>24</v>
      </c>
      <c r="R303" t="s">
        <v>165</v>
      </c>
      <c r="S303" t="s">
        <v>35</v>
      </c>
      <c r="T303" s="5">
        <v>383140</v>
      </c>
    </row>
    <row r="304" spans="16:20">
      <c r="P304" t="s">
        <v>600</v>
      </c>
      <c r="Q304" t="s">
        <v>125</v>
      </c>
      <c r="R304" t="s">
        <v>51</v>
      </c>
      <c r="S304" t="s">
        <v>52</v>
      </c>
      <c r="T304" s="5">
        <v>9648</v>
      </c>
    </row>
    <row r="305" spans="16:20">
      <c r="P305" t="s">
        <v>601</v>
      </c>
      <c r="Q305" t="s">
        <v>112</v>
      </c>
      <c r="R305" t="s">
        <v>25</v>
      </c>
      <c r="S305" t="s">
        <v>26</v>
      </c>
      <c r="T305" s="5">
        <v>6156</v>
      </c>
    </row>
    <row r="306" spans="16:20">
      <c r="P306" t="s">
        <v>602</v>
      </c>
      <c r="Q306" t="s">
        <v>72</v>
      </c>
      <c r="R306" t="s">
        <v>79</v>
      </c>
      <c r="S306" t="s">
        <v>26</v>
      </c>
      <c r="T306" s="5">
        <v>33965</v>
      </c>
    </row>
    <row r="307" spans="16:20">
      <c r="P307" t="s">
        <v>604</v>
      </c>
      <c r="Q307" t="s">
        <v>125</v>
      </c>
      <c r="R307" t="s">
        <v>165</v>
      </c>
      <c r="S307" t="s">
        <v>35</v>
      </c>
      <c r="T307" s="5">
        <v>279552</v>
      </c>
    </row>
    <row r="308" spans="16:20">
      <c r="P308" t="s">
        <v>606</v>
      </c>
      <c r="Q308" t="s">
        <v>50</v>
      </c>
      <c r="R308" t="s">
        <v>159</v>
      </c>
      <c r="S308" t="s">
        <v>42</v>
      </c>
      <c r="T308" s="5">
        <v>11965</v>
      </c>
    </row>
    <row r="309" spans="16:20">
      <c r="P309" t="s">
        <v>607</v>
      </c>
      <c r="Q309" t="s">
        <v>58</v>
      </c>
      <c r="R309" t="s">
        <v>218</v>
      </c>
      <c r="S309" t="s">
        <v>17</v>
      </c>
      <c r="T309" s="5">
        <v>4195</v>
      </c>
    </row>
    <row r="310" spans="16:20">
      <c r="P310" t="s">
        <v>608</v>
      </c>
      <c r="Q310" t="s">
        <v>146</v>
      </c>
      <c r="R310" t="s">
        <v>159</v>
      </c>
      <c r="S310" t="s">
        <v>42</v>
      </c>
      <c r="T310" s="5">
        <v>32543</v>
      </c>
    </row>
    <row r="311" spans="16:20">
      <c r="P311" t="s">
        <v>609</v>
      </c>
      <c r="Q311" t="s">
        <v>170</v>
      </c>
      <c r="R311" t="s">
        <v>59</v>
      </c>
      <c r="S311" t="s">
        <v>26</v>
      </c>
      <c r="T311" s="5">
        <v>8214</v>
      </c>
    </row>
    <row r="312" spans="16:20">
      <c r="P312" t="s">
        <v>610</v>
      </c>
      <c r="Q312" t="s">
        <v>72</v>
      </c>
      <c r="R312" t="s">
        <v>90</v>
      </c>
      <c r="S312" t="s">
        <v>42</v>
      </c>
      <c r="T312" s="5">
        <v>8088</v>
      </c>
    </row>
    <row r="313" spans="16:20">
      <c r="P313" t="s">
        <v>612</v>
      </c>
      <c r="Q313" t="s">
        <v>75</v>
      </c>
      <c r="R313" t="s">
        <v>86</v>
      </c>
      <c r="S313" t="s">
        <v>17</v>
      </c>
      <c r="T313" s="5">
        <v>4074</v>
      </c>
    </row>
    <row r="314" spans="16:20">
      <c r="P314" t="s">
        <v>613</v>
      </c>
      <c r="Q314" t="s">
        <v>24</v>
      </c>
      <c r="R314" t="s">
        <v>159</v>
      </c>
      <c r="S314" t="s">
        <v>42</v>
      </c>
      <c r="T314" s="5">
        <v>15323</v>
      </c>
    </row>
    <row r="315" spans="16:20">
      <c r="P315" t="s">
        <v>614</v>
      </c>
      <c r="Q315" t="s">
        <v>72</v>
      </c>
      <c r="R315" t="s">
        <v>25</v>
      </c>
      <c r="S315" t="s">
        <v>26</v>
      </c>
      <c r="T315" s="5">
        <v>28805</v>
      </c>
    </row>
    <row r="316" spans="16:20">
      <c r="P316" t="s">
        <v>616</v>
      </c>
      <c r="Q316" t="s">
        <v>112</v>
      </c>
      <c r="R316" t="s">
        <v>41</v>
      </c>
      <c r="S316" t="s">
        <v>42</v>
      </c>
      <c r="T316" s="5">
        <v>11286</v>
      </c>
    </row>
    <row r="317" spans="16:20">
      <c r="P317" t="s">
        <v>617</v>
      </c>
      <c r="Q317" t="s">
        <v>125</v>
      </c>
      <c r="R317" t="s">
        <v>69</v>
      </c>
      <c r="S317" t="s">
        <v>26</v>
      </c>
      <c r="T317" s="5">
        <v>19200</v>
      </c>
    </row>
    <row r="318" spans="16:20">
      <c r="P318" t="s">
        <v>618</v>
      </c>
      <c r="Q318" t="s">
        <v>179</v>
      </c>
      <c r="R318" t="s">
        <v>69</v>
      </c>
      <c r="S318" t="s">
        <v>26</v>
      </c>
      <c r="T318" s="5">
        <v>10920</v>
      </c>
    </row>
    <row r="319" spans="16:20">
      <c r="P319" t="s">
        <v>620</v>
      </c>
      <c r="Q319" t="s">
        <v>50</v>
      </c>
      <c r="R319" t="s">
        <v>113</v>
      </c>
      <c r="S319" t="s">
        <v>35</v>
      </c>
      <c r="T319" s="5">
        <v>257243</v>
      </c>
    </row>
    <row r="320" spans="16:20">
      <c r="P320" t="s">
        <v>621</v>
      </c>
      <c r="Q320" t="s">
        <v>122</v>
      </c>
      <c r="R320" t="s">
        <v>109</v>
      </c>
      <c r="S320" t="s">
        <v>52</v>
      </c>
      <c r="T320" s="5">
        <v>12048</v>
      </c>
    </row>
    <row r="321" spans="16:20">
      <c r="P321" t="s">
        <v>623</v>
      </c>
      <c r="Q321" t="s">
        <v>75</v>
      </c>
      <c r="R321" t="s">
        <v>51</v>
      </c>
      <c r="S321" t="s">
        <v>52</v>
      </c>
      <c r="T321" s="5">
        <v>1843</v>
      </c>
    </row>
    <row r="322" spans="16:20">
      <c r="P322" t="s">
        <v>625</v>
      </c>
      <c r="Q322" t="s">
        <v>24</v>
      </c>
      <c r="R322" t="s">
        <v>113</v>
      </c>
      <c r="S322" t="s">
        <v>35</v>
      </c>
      <c r="T322" s="5">
        <v>55013</v>
      </c>
    </row>
    <row r="323" spans="16:20">
      <c r="P323" t="s">
        <v>627</v>
      </c>
      <c r="Q323" t="s">
        <v>33</v>
      </c>
      <c r="R323" t="s">
        <v>86</v>
      </c>
      <c r="S323" t="s">
        <v>17</v>
      </c>
      <c r="T323" s="5">
        <v>3490</v>
      </c>
    </row>
    <row r="324" spans="16:20">
      <c r="P324" t="s">
        <v>628</v>
      </c>
      <c r="Q324" t="s">
        <v>75</v>
      </c>
      <c r="R324" t="s">
        <v>147</v>
      </c>
      <c r="S324" t="s">
        <v>52</v>
      </c>
      <c r="T324" s="5">
        <v>13076</v>
      </c>
    </row>
    <row r="325" spans="16:20">
      <c r="P325" t="s">
        <v>629</v>
      </c>
      <c r="Q325" t="s">
        <v>78</v>
      </c>
      <c r="R325" t="s">
        <v>130</v>
      </c>
      <c r="S325" t="s">
        <v>35</v>
      </c>
      <c r="T325" s="5">
        <v>311416</v>
      </c>
    </row>
    <row r="326" spans="16:20">
      <c r="P326" t="s">
        <v>631</v>
      </c>
      <c r="Q326" t="s">
        <v>146</v>
      </c>
      <c r="R326" t="s">
        <v>218</v>
      </c>
      <c r="S326" t="s">
        <v>17</v>
      </c>
      <c r="T326" s="5">
        <v>8605</v>
      </c>
    </row>
    <row r="327" spans="16:20">
      <c r="P327" t="s">
        <v>632</v>
      </c>
      <c r="Q327" t="s">
        <v>103</v>
      </c>
      <c r="R327" t="s">
        <v>41</v>
      </c>
      <c r="S327" t="s">
        <v>42</v>
      </c>
      <c r="T327" s="5">
        <v>6572</v>
      </c>
    </row>
    <row r="328" spans="16:20">
      <c r="P328" t="s">
        <v>633</v>
      </c>
      <c r="Q328" t="s">
        <v>125</v>
      </c>
      <c r="R328" t="s">
        <v>46</v>
      </c>
      <c r="S328" t="s">
        <v>42</v>
      </c>
      <c r="T328" s="5">
        <v>7470</v>
      </c>
    </row>
    <row r="329" spans="16:20">
      <c r="P329" t="s">
        <v>634</v>
      </c>
      <c r="Q329" t="s">
        <v>75</v>
      </c>
      <c r="R329" t="s">
        <v>109</v>
      </c>
      <c r="S329" t="s">
        <v>52</v>
      </c>
      <c r="T329" s="5">
        <v>5088</v>
      </c>
    </row>
    <row r="330" spans="16:20">
      <c r="P330" t="s">
        <v>636</v>
      </c>
      <c r="Q330" t="s">
        <v>50</v>
      </c>
      <c r="R330" t="s">
        <v>25</v>
      </c>
      <c r="S330" t="s">
        <v>26</v>
      </c>
      <c r="T330" s="5">
        <v>31806</v>
      </c>
    </row>
    <row r="331" spans="16:20">
      <c r="P331" t="s">
        <v>638</v>
      </c>
      <c r="Q331" t="s">
        <v>170</v>
      </c>
      <c r="R331" t="s">
        <v>69</v>
      </c>
      <c r="S331" t="s">
        <v>26</v>
      </c>
      <c r="T331" s="5">
        <v>8290</v>
      </c>
    </row>
    <row r="332" spans="16:20">
      <c r="P332" t="s">
        <v>639</v>
      </c>
      <c r="Q332" t="s">
        <v>103</v>
      </c>
      <c r="R332" t="s">
        <v>51</v>
      </c>
      <c r="S332" t="s">
        <v>52</v>
      </c>
      <c r="T332" s="5">
        <v>3462</v>
      </c>
    </row>
    <row r="333" spans="16:20">
      <c r="P333" t="s">
        <v>641</v>
      </c>
      <c r="Q333" t="s">
        <v>58</v>
      </c>
      <c r="R333" t="s">
        <v>51</v>
      </c>
      <c r="S333" t="s">
        <v>52</v>
      </c>
      <c r="T333" s="5">
        <v>7096</v>
      </c>
    </row>
    <row r="334" spans="16:20">
      <c r="P334" t="s">
        <v>642</v>
      </c>
      <c r="Q334" t="s">
        <v>133</v>
      </c>
      <c r="R334" t="s">
        <v>34</v>
      </c>
      <c r="S334" t="s">
        <v>35</v>
      </c>
      <c r="T334" s="5">
        <v>151312</v>
      </c>
    </row>
    <row r="335" spans="16:20">
      <c r="P335" t="s">
        <v>643</v>
      </c>
      <c r="Q335" t="s">
        <v>68</v>
      </c>
      <c r="R335" t="s">
        <v>46</v>
      </c>
      <c r="S335" t="s">
        <v>42</v>
      </c>
      <c r="T335" s="5">
        <v>1191</v>
      </c>
    </row>
    <row r="336" spans="16:20">
      <c r="P336" t="s">
        <v>644</v>
      </c>
      <c r="Q336" t="s">
        <v>58</v>
      </c>
      <c r="R336" t="s">
        <v>130</v>
      </c>
      <c r="S336" t="s">
        <v>35</v>
      </c>
      <c r="T336" s="5">
        <v>282350</v>
      </c>
    </row>
    <row r="337" spans="16:20">
      <c r="P337" t="s">
        <v>645</v>
      </c>
      <c r="Q337" t="s">
        <v>24</v>
      </c>
      <c r="R337" t="s">
        <v>130</v>
      </c>
      <c r="S337" t="s">
        <v>35</v>
      </c>
      <c r="T337" s="5">
        <v>419576</v>
      </c>
    </row>
    <row r="338" spans="16:20">
      <c r="P338" t="s">
        <v>647</v>
      </c>
      <c r="Q338" t="s">
        <v>45</v>
      </c>
      <c r="R338" t="s">
        <v>69</v>
      </c>
      <c r="S338" t="s">
        <v>26</v>
      </c>
      <c r="T338" s="5">
        <v>11982</v>
      </c>
    </row>
    <row r="339" spans="16:20">
      <c r="P339" t="s">
        <v>648</v>
      </c>
      <c r="Q339" t="s">
        <v>75</v>
      </c>
      <c r="R339" t="s">
        <v>46</v>
      </c>
      <c r="S339" t="s">
        <v>42</v>
      </c>
      <c r="T339" s="5">
        <v>7112</v>
      </c>
    </row>
    <row r="340" spans="16:20">
      <c r="P340" t="s">
        <v>649</v>
      </c>
      <c r="Q340" t="s">
        <v>68</v>
      </c>
      <c r="R340" t="s">
        <v>16</v>
      </c>
      <c r="S340" t="s">
        <v>17</v>
      </c>
      <c r="T340" s="5">
        <v>11384</v>
      </c>
    </row>
    <row r="341" spans="16:20">
      <c r="P341" t="s">
        <v>650</v>
      </c>
      <c r="Q341" t="s">
        <v>15</v>
      </c>
      <c r="R341" t="s">
        <v>46</v>
      </c>
      <c r="S341" t="s">
        <v>42</v>
      </c>
      <c r="T341" s="5">
        <v>6940</v>
      </c>
    </row>
    <row r="342" spans="16:20">
      <c r="P342" t="s">
        <v>651</v>
      </c>
      <c r="Q342" t="s">
        <v>58</v>
      </c>
      <c r="R342" t="s">
        <v>90</v>
      </c>
      <c r="S342" t="s">
        <v>42</v>
      </c>
      <c r="T342" s="5">
        <v>25585</v>
      </c>
    </row>
    <row r="343" spans="16:20">
      <c r="P343" t="s">
        <v>653</v>
      </c>
      <c r="Q343" t="s">
        <v>112</v>
      </c>
      <c r="R343" t="s">
        <v>159</v>
      </c>
      <c r="S343" t="s">
        <v>42</v>
      </c>
      <c r="T343" s="5">
        <v>22624</v>
      </c>
    </row>
    <row r="344" spans="16:20">
      <c r="P344" t="s">
        <v>654</v>
      </c>
      <c r="Q344" t="s">
        <v>78</v>
      </c>
      <c r="R344" t="s">
        <v>41</v>
      </c>
      <c r="S344" t="s">
        <v>42</v>
      </c>
      <c r="T344" s="5">
        <v>33808</v>
      </c>
    </row>
    <row r="345" spans="16:20">
      <c r="P345" t="s">
        <v>655</v>
      </c>
      <c r="Q345" t="s">
        <v>112</v>
      </c>
      <c r="R345" t="s">
        <v>69</v>
      </c>
      <c r="S345" t="s">
        <v>26</v>
      </c>
      <c r="T345" s="5">
        <v>20432</v>
      </c>
    </row>
    <row r="346" spans="16:20">
      <c r="P346" t="s">
        <v>657</v>
      </c>
      <c r="Q346" t="s">
        <v>103</v>
      </c>
      <c r="R346" t="s">
        <v>59</v>
      </c>
      <c r="S346" t="s">
        <v>26</v>
      </c>
      <c r="T346" s="5">
        <v>10432</v>
      </c>
    </row>
    <row r="347" spans="16:20">
      <c r="P347" t="s">
        <v>658</v>
      </c>
      <c r="Q347" t="s">
        <v>15</v>
      </c>
      <c r="R347" t="s">
        <v>113</v>
      </c>
      <c r="S347" t="s">
        <v>35</v>
      </c>
      <c r="T347" s="5">
        <v>26871</v>
      </c>
    </row>
    <row r="348" spans="16:20">
      <c r="P348" t="s">
        <v>659</v>
      </c>
      <c r="Q348" t="s">
        <v>170</v>
      </c>
      <c r="R348" t="s">
        <v>116</v>
      </c>
      <c r="S348" t="s">
        <v>17</v>
      </c>
      <c r="T348" s="5">
        <v>6960</v>
      </c>
    </row>
    <row r="349" spans="16:20">
      <c r="P349" t="s">
        <v>661</v>
      </c>
      <c r="Q349" t="s">
        <v>50</v>
      </c>
      <c r="R349" t="s">
        <v>97</v>
      </c>
      <c r="S349" t="s">
        <v>35</v>
      </c>
      <c r="T349" s="5">
        <v>282224</v>
      </c>
    </row>
    <row r="350" spans="16:20">
      <c r="P350" t="s">
        <v>662</v>
      </c>
      <c r="Q350" t="s">
        <v>78</v>
      </c>
      <c r="R350" t="s">
        <v>51</v>
      </c>
      <c r="S350" t="s">
        <v>52</v>
      </c>
      <c r="T350" s="5">
        <v>7372</v>
      </c>
    </row>
    <row r="351" spans="16:20">
      <c r="P351" t="s">
        <v>664</v>
      </c>
      <c r="Q351" t="s">
        <v>24</v>
      </c>
      <c r="R351" t="s">
        <v>46</v>
      </c>
      <c r="S351" t="s">
        <v>42</v>
      </c>
      <c r="T351" s="5">
        <v>15798</v>
      </c>
    </row>
    <row r="352" spans="16:20">
      <c r="P352" t="s">
        <v>665</v>
      </c>
      <c r="Q352" t="s">
        <v>45</v>
      </c>
      <c r="R352" t="s">
        <v>147</v>
      </c>
      <c r="S352" t="s">
        <v>52</v>
      </c>
      <c r="T352" s="5">
        <v>7072</v>
      </c>
    </row>
    <row r="353" spans="16:20">
      <c r="P353" t="s">
        <v>667</v>
      </c>
      <c r="Q353" t="s">
        <v>146</v>
      </c>
      <c r="R353" t="s">
        <v>34</v>
      </c>
      <c r="S353" t="s">
        <v>35</v>
      </c>
      <c r="T353" s="5">
        <v>65994</v>
      </c>
    </row>
    <row r="354" spans="16:20">
      <c r="P354" t="s">
        <v>669</v>
      </c>
      <c r="Q354" t="s">
        <v>179</v>
      </c>
      <c r="R354" t="s">
        <v>46</v>
      </c>
      <c r="S354" t="s">
        <v>42</v>
      </c>
      <c r="T354" s="5">
        <v>26395</v>
      </c>
    </row>
    <row r="355" spans="16:20">
      <c r="P355" t="s">
        <v>671</v>
      </c>
      <c r="Q355" t="s">
        <v>146</v>
      </c>
      <c r="R355" t="s">
        <v>97</v>
      </c>
      <c r="S355" t="s">
        <v>35</v>
      </c>
      <c r="T355" s="5">
        <v>68457</v>
      </c>
    </row>
    <row r="356" spans="16:20">
      <c r="P356" t="s">
        <v>672</v>
      </c>
      <c r="Q356" t="s">
        <v>78</v>
      </c>
      <c r="R356" t="s">
        <v>218</v>
      </c>
      <c r="S356" t="s">
        <v>17</v>
      </c>
      <c r="T356" s="5">
        <v>3824</v>
      </c>
    </row>
    <row r="357" spans="16:20">
      <c r="P357" t="s">
        <v>674</v>
      </c>
      <c r="Q357" t="s">
        <v>68</v>
      </c>
      <c r="R357" t="s">
        <v>46</v>
      </c>
      <c r="S357" t="s">
        <v>42</v>
      </c>
      <c r="T357" s="5">
        <v>3526</v>
      </c>
    </row>
    <row r="358" spans="16:20">
      <c r="P358" t="s">
        <v>676</v>
      </c>
      <c r="Q358" t="s">
        <v>15</v>
      </c>
      <c r="R358" t="s">
        <v>116</v>
      </c>
      <c r="S358" t="s">
        <v>17</v>
      </c>
      <c r="T358" s="5">
        <v>11008</v>
      </c>
    </row>
    <row r="359" spans="16:20">
      <c r="P359" t="s">
        <v>677</v>
      </c>
      <c r="Q359" t="s">
        <v>40</v>
      </c>
      <c r="R359" t="s">
        <v>41</v>
      </c>
      <c r="S359" t="s">
        <v>42</v>
      </c>
      <c r="T359" s="5">
        <v>20139</v>
      </c>
    </row>
    <row r="360" spans="16:20">
      <c r="P360" t="s">
        <v>678</v>
      </c>
      <c r="Q360" t="s">
        <v>78</v>
      </c>
      <c r="R360" t="s">
        <v>86</v>
      </c>
      <c r="S360" t="s">
        <v>17</v>
      </c>
      <c r="T360" s="5">
        <v>4816</v>
      </c>
    </row>
    <row r="361" spans="16:20">
      <c r="P361" t="s">
        <v>679</v>
      </c>
      <c r="Q361" t="s">
        <v>24</v>
      </c>
      <c r="R361" t="s">
        <v>59</v>
      </c>
      <c r="S361" t="s">
        <v>26</v>
      </c>
      <c r="T361" s="5">
        <v>30040</v>
      </c>
    </row>
    <row r="362" spans="16:20">
      <c r="P362" t="s">
        <v>680</v>
      </c>
      <c r="Q362" t="s">
        <v>50</v>
      </c>
      <c r="R362" t="s">
        <v>165</v>
      </c>
      <c r="S362" t="s">
        <v>35</v>
      </c>
      <c r="T362" s="5">
        <v>269370</v>
      </c>
    </row>
    <row r="363" spans="16:20">
      <c r="P363" t="s">
        <v>682</v>
      </c>
      <c r="Q363" t="s">
        <v>15</v>
      </c>
      <c r="R363" t="s">
        <v>90</v>
      </c>
      <c r="S363" t="s">
        <v>42</v>
      </c>
      <c r="T363" s="5">
        <v>5580</v>
      </c>
    </row>
    <row r="364" spans="16:20">
      <c r="P364" t="s">
        <v>683</v>
      </c>
      <c r="Q364" t="s">
        <v>146</v>
      </c>
      <c r="R364" t="s">
        <v>113</v>
      </c>
      <c r="S364" t="s">
        <v>35</v>
      </c>
      <c r="T364" s="5">
        <v>377090</v>
      </c>
    </row>
    <row r="365" spans="16:20">
      <c r="P365" t="s">
        <v>684</v>
      </c>
      <c r="Q365" t="s">
        <v>75</v>
      </c>
      <c r="R365" t="s">
        <v>130</v>
      </c>
      <c r="S365" t="s">
        <v>35</v>
      </c>
      <c r="T365" s="5">
        <v>167444</v>
      </c>
    </row>
    <row r="366" spans="16:20">
      <c r="P366" t="s">
        <v>685</v>
      </c>
      <c r="Q366" t="s">
        <v>170</v>
      </c>
      <c r="R366" t="s">
        <v>51</v>
      </c>
      <c r="S366" t="s">
        <v>52</v>
      </c>
      <c r="T366" s="5">
        <v>2960</v>
      </c>
    </row>
    <row r="367" spans="16:20">
      <c r="P367" t="s">
        <v>686</v>
      </c>
      <c r="Q367" t="s">
        <v>170</v>
      </c>
      <c r="R367" t="s">
        <v>86</v>
      </c>
      <c r="S367" t="s">
        <v>17</v>
      </c>
      <c r="T367" s="5">
        <v>1598</v>
      </c>
    </row>
    <row r="368" spans="16:20">
      <c r="P368" t="s">
        <v>688</v>
      </c>
      <c r="Q368" t="s">
        <v>125</v>
      </c>
      <c r="R368" t="s">
        <v>116</v>
      </c>
      <c r="S368" t="s">
        <v>17</v>
      </c>
      <c r="T368" s="5">
        <v>1508</v>
      </c>
    </row>
    <row r="369" spans="16:20">
      <c r="P369" t="s">
        <v>689</v>
      </c>
      <c r="Q369" t="s">
        <v>58</v>
      </c>
      <c r="R369" t="s">
        <v>113</v>
      </c>
      <c r="S369" t="s">
        <v>35</v>
      </c>
      <c r="T369" s="5">
        <v>141239</v>
      </c>
    </row>
    <row r="370" spans="16:20">
      <c r="P370" t="s">
        <v>691</v>
      </c>
      <c r="Q370" t="s">
        <v>170</v>
      </c>
      <c r="R370" t="s">
        <v>218</v>
      </c>
      <c r="S370" t="s">
        <v>17</v>
      </c>
      <c r="T370" s="5">
        <v>10212</v>
      </c>
    </row>
    <row r="371" spans="16:20">
      <c r="P371" t="s">
        <v>693</v>
      </c>
      <c r="Q371" t="s">
        <v>72</v>
      </c>
      <c r="R371" t="s">
        <v>109</v>
      </c>
      <c r="S371" t="s">
        <v>52</v>
      </c>
      <c r="T371" s="5">
        <v>6776</v>
      </c>
    </row>
    <row r="372" spans="16:20">
      <c r="P372" t="s">
        <v>694</v>
      </c>
      <c r="Q372" t="s">
        <v>170</v>
      </c>
      <c r="R372" t="s">
        <v>86</v>
      </c>
      <c r="S372" t="s">
        <v>17</v>
      </c>
      <c r="T372" s="5">
        <v>2667</v>
      </c>
    </row>
    <row r="373" spans="16:20">
      <c r="P373" t="s">
        <v>695</v>
      </c>
      <c r="Q373" t="s">
        <v>103</v>
      </c>
      <c r="R373" t="s">
        <v>59</v>
      </c>
      <c r="S373" t="s">
        <v>26</v>
      </c>
      <c r="T373" s="5">
        <v>82808</v>
      </c>
    </row>
    <row r="374" spans="16:20">
      <c r="P374" t="s">
        <v>696</v>
      </c>
      <c r="Q374" t="s">
        <v>68</v>
      </c>
      <c r="R374" t="s">
        <v>109</v>
      </c>
      <c r="S374" t="s">
        <v>52</v>
      </c>
      <c r="T374" s="5">
        <v>2272</v>
      </c>
    </row>
    <row r="375" spans="16:20">
      <c r="P375" t="s">
        <v>698</v>
      </c>
      <c r="Q375" t="s">
        <v>78</v>
      </c>
      <c r="R375" t="s">
        <v>51</v>
      </c>
      <c r="S375" t="s">
        <v>52</v>
      </c>
      <c r="T375" s="5">
        <v>4470</v>
      </c>
    </row>
    <row r="376" spans="16:20">
      <c r="P376" t="s">
        <v>699</v>
      </c>
      <c r="Q376" t="s">
        <v>122</v>
      </c>
      <c r="R376" t="s">
        <v>109</v>
      </c>
      <c r="S376" t="s">
        <v>52</v>
      </c>
      <c r="T376" s="5">
        <v>7144</v>
      </c>
    </row>
    <row r="377" spans="16:20">
      <c r="P377" t="s">
        <v>700</v>
      </c>
      <c r="Q377" t="s">
        <v>112</v>
      </c>
      <c r="R377" t="s">
        <v>97</v>
      </c>
      <c r="S377" t="s">
        <v>35</v>
      </c>
      <c r="T377" s="5">
        <v>236490</v>
      </c>
    </row>
    <row r="378" spans="16:20">
      <c r="P378" t="s">
        <v>701</v>
      </c>
      <c r="Q378" t="s">
        <v>58</v>
      </c>
      <c r="R378" t="s">
        <v>63</v>
      </c>
      <c r="S378" t="s">
        <v>52</v>
      </c>
      <c r="T378" s="5">
        <v>7990</v>
      </c>
    </row>
    <row r="379" spans="16:20">
      <c r="P379" t="s">
        <v>703</v>
      </c>
      <c r="Q379" t="s">
        <v>24</v>
      </c>
      <c r="R379" t="s">
        <v>165</v>
      </c>
      <c r="S379" t="s">
        <v>35</v>
      </c>
      <c r="T379" s="5">
        <v>308798</v>
      </c>
    </row>
    <row r="380" spans="16:20">
      <c r="P380" t="s">
        <v>704</v>
      </c>
      <c r="Q380" t="s">
        <v>45</v>
      </c>
      <c r="R380" t="s">
        <v>97</v>
      </c>
      <c r="S380" t="s">
        <v>35</v>
      </c>
      <c r="T380" s="5">
        <v>112085</v>
      </c>
    </row>
    <row r="381" spans="16:20">
      <c r="P381" t="s">
        <v>706</v>
      </c>
      <c r="Q381" t="s">
        <v>129</v>
      </c>
      <c r="R381" t="s">
        <v>79</v>
      </c>
      <c r="S381" t="s">
        <v>26</v>
      </c>
      <c r="T381" s="5">
        <v>9030</v>
      </c>
    </row>
    <row r="382" spans="16:20">
      <c r="P382" t="s">
        <v>707</v>
      </c>
      <c r="Q382" t="s">
        <v>179</v>
      </c>
      <c r="R382" t="s">
        <v>159</v>
      </c>
      <c r="S382" t="s">
        <v>42</v>
      </c>
      <c r="T382" s="5">
        <v>3288</v>
      </c>
    </row>
    <row r="383" spans="16:20">
      <c r="P383" t="s">
        <v>709</v>
      </c>
      <c r="Q383" t="s">
        <v>170</v>
      </c>
      <c r="R383" t="s">
        <v>90</v>
      </c>
      <c r="S383" t="s">
        <v>42</v>
      </c>
      <c r="T383" s="5">
        <v>24096</v>
      </c>
    </row>
    <row r="384" spans="16:20">
      <c r="P384" t="s">
        <v>710</v>
      </c>
      <c r="Q384" t="s">
        <v>179</v>
      </c>
      <c r="R384" t="s">
        <v>90</v>
      </c>
      <c r="S384" t="s">
        <v>42</v>
      </c>
      <c r="T384" s="5">
        <v>4084</v>
      </c>
    </row>
    <row r="385" spans="16:20">
      <c r="P385" t="s">
        <v>711</v>
      </c>
      <c r="Q385" t="s">
        <v>146</v>
      </c>
      <c r="R385" t="s">
        <v>130</v>
      </c>
      <c r="S385" t="s">
        <v>35</v>
      </c>
      <c r="T385" s="5">
        <v>248592</v>
      </c>
    </row>
    <row r="386" spans="16:20">
      <c r="P386" t="s">
        <v>712</v>
      </c>
      <c r="Q386" t="s">
        <v>146</v>
      </c>
      <c r="R386" t="s">
        <v>79</v>
      </c>
      <c r="S386" t="s">
        <v>26</v>
      </c>
      <c r="T386" s="5">
        <v>57631</v>
      </c>
    </row>
    <row r="387" spans="16:20">
      <c r="P387" t="s">
        <v>714</v>
      </c>
      <c r="Q387" t="s">
        <v>50</v>
      </c>
      <c r="R387" t="s">
        <v>147</v>
      </c>
      <c r="S387" t="s">
        <v>52</v>
      </c>
      <c r="T387" s="5">
        <v>4180</v>
      </c>
    </row>
    <row r="388" spans="16:20">
      <c r="P388" t="s">
        <v>715</v>
      </c>
      <c r="Q388" t="s">
        <v>40</v>
      </c>
      <c r="R388" t="s">
        <v>109</v>
      </c>
      <c r="S388" t="s">
        <v>52</v>
      </c>
      <c r="T388" s="5">
        <v>2526</v>
      </c>
    </row>
    <row r="389" spans="16:20">
      <c r="P389" t="s">
        <v>717</v>
      </c>
      <c r="Q389" t="s">
        <v>122</v>
      </c>
      <c r="R389" t="s">
        <v>63</v>
      </c>
      <c r="S389" t="s">
        <v>52</v>
      </c>
      <c r="T389" s="5">
        <v>10640</v>
      </c>
    </row>
    <row r="390" spans="16:20">
      <c r="P390" t="s">
        <v>718</v>
      </c>
      <c r="Q390" t="s">
        <v>33</v>
      </c>
      <c r="R390" t="s">
        <v>90</v>
      </c>
      <c r="S390" t="s">
        <v>42</v>
      </c>
      <c r="T390" s="5">
        <v>5777</v>
      </c>
    </row>
    <row r="391" spans="16:20">
      <c r="P391" t="s">
        <v>719</v>
      </c>
      <c r="Q391" t="s">
        <v>24</v>
      </c>
      <c r="R391" t="s">
        <v>113</v>
      </c>
      <c r="S391" t="s">
        <v>35</v>
      </c>
      <c r="T391" s="5">
        <v>45899</v>
      </c>
    </row>
    <row r="392" spans="16:20">
      <c r="P392" t="s">
        <v>720</v>
      </c>
      <c r="Q392" t="s">
        <v>40</v>
      </c>
      <c r="R392" t="s">
        <v>46</v>
      </c>
      <c r="S392" t="s">
        <v>42</v>
      </c>
      <c r="T392" s="5">
        <v>7608</v>
      </c>
    </row>
    <row r="393" spans="16:20">
      <c r="P393" t="s">
        <v>721</v>
      </c>
      <c r="Q393" t="s">
        <v>125</v>
      </c>
      <c r="R393" t="s">
        <v>130</v>
      </c>
      <c r="S393" t="s">
        <v>35</v>
      </c>
      <c r="T393" s="5">
        <v>209300</v>
      </c>
    </row>
    <row r="394" spans="16:20">
      <c r="P394" t="s">
        <v>723</v>
      </c>
      <c r="Q394" t="s">
        <v>45</v>
      </c>
      <c r="R394" t="s">
        <v>59</v>
      </c>
      <c r="S394" t="s">
        <v>26</v>
      </c>
      <c r="T394" s="5">
        <v>53724</v>
      </c>
    </row>
    <row r="395" spans="16:20">
      <c r="P395" t="s">
        <v>724</v>
      </c>
      <c r="Q395" t="s">
        <v>129</v>
      </c>
      <c r="R395" t="s">
        <v>16</v>
      </c>
      <c r="S395" t="s">
        <v>17</v>
      </c>
      <c r="T395" s="5">
        <v>12640</v>
      </c>
    </row>
    <row r="396" spans="16:20">
      <c r="P396" t="s">
        <v>725</v>
      </c>
      <c r="Q396" t="s">
        <v>170</v>
      </c>
      <c r="R396" t="s">
        <v>109</v>
      </c>
      <c r="S396" t="s">
        <v>52</v>
      </c>
      <c r="T396" s="5">
        <v>2958</v>
      </c>
    </row>
    <row r="397" spans="16:20">
      <c r="P397" t="s">
        <v>726</v>
      </c>
      <c r="Q397" t="s">
        <v>146</v>
      </c>
      <c r="R397" t="s">
        <v>63</v>
      </c>
      <c r="S397" t="s">
        <v>52</v>
      </c>
      <c r="T397" s="5">
        <v>13272</v>
      </c>
    </row>
    <row r="398" spans="16:20">
      <c r="P398" t="s">
        <v>728</v>
      </c>
      <c r="Q398" t="s">
        <v>129</v>
      </c>
      <c r="R398" t="s">
        <v>41</v>
      </c>
      <c r="S398" t="s">
        <v>42</v>
      </c>
      <c r="T398" s="5">
        <v>25445</v>
      </c>
    </row>
    <row r="399" spans="16:20">
      <c r="P399" t="s">
        <v>730</v>
      </c>
      <c r="Q399" t="s">
        <v>170</v>
      </c>
      <c r="R399" t="s">
        <v>218</v>
      </c>
      <c r="S399" t="s">
        <v>17</v>
      </c>
      <c r="T399" s="5">
        <v>4407</v>
      </c>
    </row>
    <row r="400" spans="16:20">
      <c r="P400" t="s">
        <v>732</v>
      </c>
      <c r="Q400" t="s">
        <v>129</v>
      </c>
      <c r="R400" t="s">
        <v>41</v>
      </c>
      <c r="S400" t="s">
        <v>42</v>
      </c>
      <c r="T400" s="5">
        <v>9880</v>
      </c>
    </row>
    <row r="401" spans="16:20">
      <c r="P401" t="s">
        <v>733</v>
      </c>
      <c r="Q401" t="s">
        <v>68</v>
      </c>
      <c r="R401" t="s">
        <v>41</v>
      </c>
      <c r="S401" t="s">
        <v>42</v>
      </c>
      <c r="T401" s="5">
        <v>14967</v>
      </c>
    </row>
    <row r="402" spans="16:20">
      <c r="P402" t="s">
        <v>735</v>
      </c>
      <c r="Q402" t="s">
        <v>68</v>
      </c>
      <c r="R402" t="s">
        <v>116</v>
      </c>
      <c r="S402" t="s">
        <v>17</v>
      </c>
      <c r="T402" s="5">
        <v>616</v>
      </c>
    </row>
    <row r="403" spans="16:20">
      <c r="P403" t="s">
        <v>736</v>
      </c>
      <c r="Q403" t="s">
        <v>68</v>
      </c>
      <c r="R403" t="s">
        <v>59</v>
      </c>
      <c r="S403" t="s">
        <v>26</v>
      </c>
      <c r="T403" s="5">
        <v>21328</v>
      </c>
    </row>
    <row r="404" spans="16:20">
      <c r="P404" t="s">
        <v>738</v>
      </c>
      <c r="Q404" t="s">
        <v>58</v>
      </c>
      <c r="R404" t="s">
        <v>113</v>
      </c>
      <c r="S404" t="s">
        <v>35</v>
      </c>
      <c r="T404" s="5">
        <v>96832</v>
      </c>
    </row>
    <row r="405" spans="16:20">
      <c r="P405" t="s">
        <v>740</v>
      </c>
      <c r="Q405" t="s">
        <v>33</v>
      </c>
      <c r="R405" t="s">
        <v>165</v>
      </c>
      <c r="S405" t="s">
        <v>35</v>
      </c>
      <c r="T405" s="5">
        <v>50400</v>
      </c>
    </row>
    <row r="406" spans="16:20">
      <c r="P406" t="s">
        <v>741</v>
      </c>
      <c r="Q406" t="s">
        <v>58</v>
      </c>
      <c r="R406" t="s">
        <v>51</v>
      </c>
      <c r="S406" t="s">
        <v>52</v>
      </c>
      <c r="T406" s="5">
        <v>9666</v>
      </c>
    </row>
    <row r="407" spans="16:20">
      <c r="P407" t="s">
        <v>742</v>
      </c>
      <c r="Q407" t="s">
        <v>50</v>
      </c>
      <c r="R407" t="s">
        <v>116</v>
      </c>
      <c r="S407" t="s">
        <v>17</v>
      </c>
      <c r="T407" s="5">
        <v>10104</v>
      </c>
    </row>
    <row r="408" spans="16:20">
      <c r="P408" t="s">
        <v>744</v>
      </c>
      <c r="Q408" t="s">
        <v>129</v>
      </c>
      <c r="R408" t="s">
        <v>90</v>
      </c>
      <c r="S408" t="s">
        <v>42</v>
      </c>
      <c r="T408" s="5">
        <v>9242</v>
      </c>
    </row>
    <row r="409" spans="16:20">
      <c r="P409" t="s">
        <v>745</v>
      </c>
      <c r="Q409" t="s">
        <v>78</v>
      </c>
      <c r="R409" t="s">
        <v>41</v>
      </c>
      <c r="S409" t="s">
        <v>42</v>
      </c>
      <c r="T409" s="5">
        <v>7966</v>
      </c>
    </row>
    <row r="410" spans="16:20">
      <c r="P410" t="s">
        <v>746</v>
      </c>
      <c r="Q410" t="s">
        <v>58</v>
      </c>
      <c r="R410" t="s">
        <v>218</v>
      </c>
      <c r="S410" t="s">
        <v>17</v>
      </c>
      <c r="T410" s="5">
        <v>8337</v>
      </c>
    </row>
    <row r="411" spans="16:20">
      <c r="P411" t="s">
        <v>747</v>
      </c>
      <c r="Q411" t="s">
        <v>170</v>
      </c>
      <c r="R411" t="s">
        <v>165</v>
      </c>
      <c r="S411" t="s">
        <v>35</v>
      </c>
      <c r="T411" s="5">
        <v>445504</v>
      </c>
    </row>
    <row r="412" spans="16:20">
      <c r="P412" t="s">
        <v>748</v>
      </c>
      <c r="Q412" t="s">
        <v>179</v>
      </c>
      <c r="R412" t="s">
        <v>63</v>
      </c>
      <c r="S412" t="s">
        <v>52</v>
      </c>
      <c r="T412" s="5">
        <v>861</v>
      </c>
    </row>
    <row r="413" spans="16:20">
      <c r="P413" t="s">
        <v>749</v>
      </c>
      <c r="Q413" t="s">
        <v>33</v>
      </c>
      <c r="R413" t="s">
        <v>59</v>
      </c>
      <c r="S413" t="s">
        <v>26</v>
      </c>
      <c r="T413" s="5">
        <v>44532</v>
      </c>
    </row>
    <row r="414" spans="16:20">
      <c r="P414" t="s">
        <v>750</v>
      </c>
      <c r="Q414" t="s">
        <v>50</v>
      </c>
      <c r="R414" t="s">
        <v>59</v>
      </c>
      <c r="S414" t="s">
        <v>26</v>
      </c>
      <c r="T414" s="5">
        <v>36295</v>
      </c>
    </row>
    <row r="415" spans="16:20">
      <c r="P415" t="s">
        <v>751</v>
      </c>
      <c r="Q415" t="s">
        <v>72</v>
      </c>
      <c r="R415" t="s">
        <v>51</v>
      </c>
      <c r="S415" t="s">
        <v>52</v>
      </c>
      <c r="T415" s="5">
        <v>7300</v>
      </c>
    </row>
    <row r="416" spans="16:20">
      <c r="P416" t="s">
        <v>753</v>
      </c>
      <c r="Q416" t="s">
        <v>45</v>
      </c>
      <c r="R416" t="s">
        <v>51</v>
      </c>
      <c r="S416" t="s">
        <v>52</v>
      </c>
      <c r="T416" s="5">
        <v>4172</v>
      </c>
    </row>
    <row r="417" spans="16:20">
      <c r="P417" t="s">
        <v>754</v>
      </c>
      <c r="Q417" t="s">
        <v>112</v>
      </c>
      <c r="R417" t="s">
        <v>69</v>
      </c>
      <c r="S417" t="s">
        <v>26</v>
      </c>
      <c r="T417" s="5">
        <v>5526</v>
      </c>
    </row>
    <row r="418" spans="16:20">
      <c r="P418" t="s">
        <v>755</v>
      </c>
      <c r="Q418" t="s">
        <v>72</v>
      </c>
      <c r="R418" t="s">
        <v>16</v>
      </c>
      <c r="S418" t="s">
        <v>17</v>
      </c>
      <c r="T418" s="5">
        <v>13944</v>
      </c>
    </row>
    <row r="419" spans="16:20">
      <c r="P419" t="s">
        <v>757</v>
      </c>
      <c r="Q419" t="s">
        <v>45</v>
      </c>
      <c r="R419" t="s">
        <v>25</v>
      </c>
      <c r="S419" t="s">
        <v>26</v>
      </c>
      <c r="T419" s="5">
        <v>19268</v>
      </c>
    </row>
    <row r="420" spans="16:20">
      <c r="P420" t="s">
        <v>758</v>
      </c>
      <c r="Q420" t="s">
        <v>45</v>
      </c>
      <c r="R420" t="s">
        <v>90</v>
      </c>
      <c r="S420" t="s">
        <v>42</v>
      </c>
      <c r="T420" s="5">
        <v>28728</v>
      </c>
    </row>
    <row r="421" spans="16:20">
      <c r="P421" t="s">
        <v>759</v>
      </c>
      <c r="Q421" t="s">
        <v>72</v>
      </c>
      <c r="R421" t="s">
        <v>116</v>
      </c>
      <c r="S421" t="s">
        <v>17</v>
      </c>
      <c r="T421" s="5">
        <v>4419</v>
      </c>
    </row>
    <row r="422" spans="16:20">
      <c r="P422" t="s">
        <v>761</v>
      </c>
      <c r="Q422" t="s">
        <v>146</v>
      </c>
      <c r="R422" t="s">
        <v>34</v>
      </c>
      <c r="S422" t="s">
        <v>35</v>
      </c>
      <c r="T422" s="5">
        <v>21805</v>
      </c>
    </row>
    <row r="423" spans="16:20">
      <c r="P423" t="s">
        <v>762</v>
      </c>
      <c r="Q423" t="s">
        <v>50</v>
      </c>
      <c r="R423" t="s">
        <v>51</v>
      </c>
      <c r="S423" t="s">
        <v>52</v>
      </c>
      <c r="T423" s="5">
        <v>595</v>
      </c>
    </row>
    <row r="424" spans="16:20">
      <c r="P424" t="s">
        <v>764</v>
      </c>
      <c r="Q424" t="s">
        <v>78</v>
      </c>
      <c r="R424" t="s">
        <v>109</v>
      </c>
      <c r="S424" t="s">
        <v>52</v>
      </c>
      <c r="T424" s="5">
        <v>2325</v>
      </c>
    </row>
    <row r="425" spans="16:20">
      <c r="P425" t="s">
        <v>765</v>
      </c>
      <c r="Q425" t="s">
        <v>68</v>
      </c>
      <c r="R425" t="s">
        <v>46</v>
      </c>
      <c r="S425" t="s">
        <v>42</v>
      </c>
      <c r="T425" s="5">
        <v>26803</v>
      </c>
    </row>
    <row r="426" spans="16:20">
      <c r="P426" t="s">
        <v>766</v>
      </c>
      <c r="Q426" t="s">
        <v>58</v>
      </c>
      <c r="R426" t="s">
        <v>59</v>
      </c>
      <c r="S426" t="s">
        <v>26</v>
      </c>
      <c r="T426" s="5">
        <v>36040</v>
      </c>
    </row>
    <row r="427" spans="16:20">
      <c r="P427" t="s">
        <v>767</v>
      </c>
      <c r="Q427" t="s">
        <v>129</v>
      </c>
      <c r="R427" t="s">
        <v>165</v>
      </c>
      <c r="S427" t="s">
        <v>35</v>
      </c>
      <c r="T427" s="5">
        <v>56403</v>
      </c>
    </row>
    <row r="428" spans="16:20">
      <c r="P428" t="s">
        <v>768</v>
      </c>
      <c r="Q428" t="s">
        <v>75</v>
      </c>
      <c r="R428" t="s">
        <v>147</v>
      </c>
      <c r="S428" t="s">
        <v>52</v>
      </c>
      <c r="T428" s="5">
        <v>2276</v>
      </c>
    </row>
    <row r="429" spans="16:20">
      <c r="P429" t="s">
        <v>769</v>
      </c>
      <c r="Q429" t="s">
        <v>133</v>
      </c>
      <c r="R429" t="s">
        <v>79</v>
      </c>
      <c r="S429" t="s">
        <v>26</v>
      </c>
      <c r="T429" s="5">
        <v>33795</v>
      </c>
    </row>
    <row r="430" spans="16:20">
      <c r="P430" t="s">
        <v>770</v>
      </c>
      <c r="Q430" t="s">
        <v>24</v>
      </c>
      <c r="R430" t="s">
        <v>147</v>
      </c>
      <c r="S430" t="s">
        <v>52</v>
      </c>
      <c r="T430" s="5">
        <v>1841</v>
      </c>
    </row>
    <row r="431" spans="16:20">
      <c r="P431" t="s">
        <v>771</v>
      </c>
      <c r="Q431" t="s">
        <v>146</v>
      </c>
      <c r="R431" t="s">
        <v>51</v>
      </c>
      <c r="S431" t="s">
        <v>52</v>
      </c>
      <c r="T431" s="5">
        <v>6712</v>
      </c>
    </row>
    <row r="432" spans="16:20">
      <c r="P432" t="s">
        <v>772</v>
      </c>
      <c r="Q432" t="s">
        <v>50</v>
      </c>
      <c r="R432" t="s">
        <v>16</v>
      </c>
      <c r="S432" t="s">
        <v>17</v>
      </c>
      <c r="T432" s="5">
        <v>6065</v>
      </c>
    </row>
    <row r="433" spans="16:20">
      <c r="P433" t="s">
        <v>773</v>
      </c>
      <c r="Q433" t="s">
        <v>125</v>
      </c>
      <c r="R433" t="s">
        <v>41</v>
      </c>
      <c r="S433" t="s">
        <v>42</v>
      </c>
      <c r="T433" s="5">
        <v>10192</v>
      </c>
    </row>
    <row r="434" spans="16:20">
      <c r="P434" t="s">
        <v>774</v>
      </c>
      <c r="Q434" t="s">
        <v>179</v>
      </c>
      <c r="R434" t="s">
        <v>97</v>
      </c>
      <c r="S434" t="s">
        <v>35</v>
      </c>
      <c r="T434" s="5">
        <v>94144</v>
      </c>
    </row>
    <row r="435" spans="16:20">
      <c r="P435" t="s">
        <v>775</v>
      </c>
      <c r="Q435" t="s">
        <v>72</v>
      </c>
      <c r="R435" t="s">
        <v>109</v>
      </c>
      <c r="S435" t="s">
        <v>52</v>
      </c>
      <c r="T435" s="5">
        <v>12047</v>
      </c>
    </row>
    <row r="436" spans="16:20">
      <c r="P436" t="s">
        <v>776</v>
      </c>
      <c r="Q436" t="s">
        <v>15</v>
      </c>
      <c r="R436" t="s">
        <v>79</v>
      </c>
      <c r="S436" t="s">
        <v>26</v>
      </c>
      <c r="T436" s="5">
        <v>66836</v>
      </c>
    </row>
    <row r="437" spans="16:20">
      <c r="P437" t="s">
        <v>777</v>
      </c>
      <c r="Q437" t="s">
        <v>75</v>
      </c>
      <c r="R437" t="s">
        <v>113</v>
      </c>
      <c r="S437" t="s">
        <v>35</v>
      </c>
      <c r="T437" s="5">
        <v>125158</v>
      </c>
    </row>
    <row r="438" spans="16:20">
      <c r="P438" t="s">
        <v>778</v>
      </c>
      <c r="Q438" t="s">
        <v>68</v>
      </c>
      <c r="R438" t="s">
        <v>116</v>
      </c>
      <c r="S438" t="s">
        <v>17</v>
      </c>
      <c r="T438" s="5">
        <v>797</v>
      </c>
    </row>
    <row r="439" spans="16:20">
      <c r="P439" t="s">
        <v>779</v>
      </c>
      <c r="Q439" t="s">
        <v>58</v>
      </c>
      <c r="R439" t="s">
        <v>16</v>
      </c>
      <c r="S439" t="s">
        <v>17</v>
      </c>
      <c r="T439" s="5">
        <v>1716</v>
      </c>
    </row>
    <row r="440" spans="16:20">
      <c r="P440" t="s">
        <v>780</v>
      </c>
      <c r="Q440" t="s">
        <v>129</v>
      </c>
      <c r="R440" t="s">
        <v>147</v>
      </c>
      <c r="S440" t="s">
        <v>52</v>
      </c>
      <c r="T440" s="5">
        <v>1524</v>
      </c>
    </row>
    <row r="441" spans="16:20">
      <c r="P441" t="s">
        <v>781</v>
      </c>
      <c r="Q441" t="s">
        <v>24</v>
      </c>
      <c r="R441" t="s">
        <v>147</v>
      </c>
      <c r="S441" t="s">
        <v>52</v>
      </c>
      <c r="T441" s="5">
        <v>3580</v>
      </c>
    </row>
    <row r="442" spans="16:20">
      <c r="P442" t="s">
        <v>782</v>
      </c>
      <c r="Q442" t="s">
        <v>45</v>
      </c>
      <c r="R442" t="s">
        <v>159</v>
      </c>
      <c r="S442" t="s">
        <v>42</v>
      </c>
      <c r="T442" s="5">
        <v>13167</v>
      </c>
    </row>
    <row r="443" spans="16:20">
      <c r="P443" t="s">
        <v>783</v>
      </c>
      <c r="Q443" t="s">
        <v>45</v>
      </c>
      <c r="R443" t="s">
        <v>41</v>
      </c>
      <c r="S443" t="s">
        <v>42</v>
      </c>
      <c r="T443" s="5">
        <v>26340</v>
      </c>
    </row>
    <row r="444" spans="16:20">
      <c r="P444" t="s">
        <v>785</v>
      </c>
      <c r="Q444" t="s">
        <v>33</v>
      </c>
      <c r="R444" t="s">
        <v>109</v>
      </c>
      <c r="S444" t="s">
        <v>52</v>
      </c>
      <c r="T444" s="5">
        <v>3444</v>
      </c>
    </row>
    <row r="445" spans="16:20">
      <c r="P445" t="s">
        <v>786</v>
      </c>
      <c r="Q445" t="s">
        <v>24</v>
      </c>
      <c r="R445" t="s">
        <v>51</v>
      </c>
      <c r="S445" t="s">
        <v>52</v>
      </c>
      <c r="T445" s="5">
        <v>12636</v>
      </c>
    </row>
    <row r="446" spans="16:20">
      <c r="P446" t="s">
        <v>787</v>
      </c>
      <c r="Q446" t="s">
        <v>122</v>
      </c>
      <c r="R446" t="s">
        <v>86</v>
      </c>
      <c r="S446" t="s">
        <v>17</v>
      </c>
      <c r="T446" s="5">
        <v>6948</v>
      </c>
    </row>
    <row r="447" spans="16:20">
      <c r="P447" t="s">
        <v>788</v>
      </c>
      <c r="Q447" t="s">
        <v>24</v>
      </c>
      <c r="R447" t="s">
        <v>159</v>
      </c>
      <c r="S447" t="s">
        <v>42</v>
      </c>
      <c r="T447" s="5">
        <v>34160</v>
      </c>
    </row>
    <row r="448" spans="16:20">
      <c r="P448" t="s">
        <v>789</v>
      </c>
      <c r="Q448" t="s">
        <v>103</v>
      </c>
      <c r="R448" t="s">
        <v>159</v>
      </c>
      <c r="S448" t="s">
        <v>42</v>
      </c>
      <c r="T448" s="5">
        <v>10452</v>
      </c>
    </row>
    <row r="449" spans="16:20">
      <c r="P449" t="s">
        <v>791</v>
      </c>
      <c r="Q449" t="s">
        <v>58</v>
      </c>
      <c r="R449" t="s">
        <v>90</v>
      </c>
      <c r="S449" t="s">
        <v>42</v>
      </c>
      <c r="T449" s="5">
        <v>11904</v>
      </c>
    </row>
    <row r="450" spans="16:20">
      <c r="P450" t="s">
        <v>792</v>
      </c>
      <c r="Q450" t="s">
        <v>58</v>
      </c>
      <c r="R450" t="s">
        <v>90</v>
      </c>
      <c r="S450" t="s">
        <v>42</v>
      </c>
      <c r="T450" s="5">
        <v>33656</v>
      </c>
    </row>
    <row r="451" spans="16:20">
      <c r="P451" t="s">
        <v>793</v>
      </c>
      <c r="Q451" t="s">
        <v>146</v>
      </c>
      <c r="R451" t="s">
        <v>41</v>
      </c>
      <c r="S451" t="s">
        <v>42</v>
      </c>
      <c r="T451" s="5">
        <v>40400</v>
      </c>
    </row>
    <row r="452" spans="16:20">
      <c r="P452" t="s">
        <v>794</v>
      </c>
      <c r="Q452" t="s">
        <v>15</v>
      </c>
      <c r="R452" t="s">
        <v>25</v>
      </c>
      <c r="S452" t="s">
        <v>26</v>
      </c>
      <c r="T452" s="5">
        <v>33012</v>
      </c>
    </row>
    <row r="453" spans="16:20">
      <c r="P453" t="s">
        <v>795</v>
      </c>
      <c r="Q453" t="s">
        <v>75</v>
      </c>
      <c r="R453" t="s">
        <v>41</v>
      </c>
      <c r="S453" t="s">
        <v>42</v>
      </c>
      <c r="T453" s="5">
        <v>29872</v>
      </c>
    </row>
    <row r="454" spans="16:20">
      <c r="P454" t="s">
        <v>796</v>
      </c>
      <c r="Q454" t="s">
        <v>33</v>
      </c>
      <c r="R454" t="s">
        <v>97</v>
      </c>
      <c r="S454" t="s">
        <v>35</v>
      </c>
      <c r="T454" s="5">
        <v>335296</v>
      </c>
    </row>
    <row r="455" spans="16:20">
      <c r="P455" t="s">
        <v>798</v>
      </c>
      <c r="Q455" t="s">
        <v>78</v>
      </c>
      <c r="R455" t="s">
        <v>41</v>
      </c>
      <c r="S455" t="s">
        <v>42</v>
      </c>
      <c r="T455" s="5">
        <v>14262</v>
      </c>
    </row>
    <row r="456" spans="16:20">
      <c r="P456" t="s">
        <v>800</v>
      </c>
      <c r="Q456" t="s">
        <v>125</v>
      </c>
      <c r="R456" t="s">
        <v>109</v>
      </c>
      <c r="S456" t="s">
        <v>52</v>
      </c>
      <c r="T456" s="5">
        <v>9910</v>
      </c>
    </row>
    <row r="457" spans="16:20">
      <c r="P457" t="s">
        <v>801</v>
      </c>
      <c r="Q457" t="s">
        <v>40</v>
      </c>
      <c r="R457" t="s">
        <v>59</v>
      </c>
      <c r="S457" t="s">
        <v>26</v>
      </c>
      <c r="T457" s="5">
        <v>13380</v>
      </c>
    </row>
    <row r="458" spans="16:20">
      <c r="P458" t="s">
        <v>803</v>
      </c>
      <c r="Q458" t="s">
        <v>78</v>
      </c>
      <c r="R458" t="s">
        <v>113</v>
      </c>
      <c r="S458" t="s">
        <v>35</v>
      </c>
      <c r="T458" s="5">
        <v>87816</v>
      </c>
    </row>
    <row r="459" spans="16:20">
      <c r="P459" t="s">
        <v>804</v>
      </c>
      <c r="Q459" t="s">
        <v>133</v>
      </c>
      <c r="R459" t="s">
        <v>90</v>
      </c>
      <c r="S459" t="s">
        <v>42</v>
      </c>
      <c r="T459" s="5">
        <v>880</v>
      </c>
    </row>
    <row r="460" spans="16:20">
      <c r="P460" t="s">
        <v>806</v>
      </c>
      <c r="Q460" t="s">
        <v>40</v>
      </c>
      <c r="R460" t="s">
        <v>90</v>
      </c>
      <c r="S460" t="s">
        <v>42</v>
      </c>
      <c r="T460" s="5">
        <v>10530</v>
      </c>
    </row>
    <row r="461" spans="16:20">
      <c r="P461" t="s">
        <v>807</v>
      </c>
      <c r="Q461" t="s">
        <v>24</v>
      </c>
      <c r="R461" t="s">
        <v>97</v>
      </c>
      <c r="S461" t="s">
        <v>35</v>
      </c>
      <c r="T461" s="5">
        <v>119661</v>
      </c>
    </row>
    <row r="462" spans="16:20">
      <c r="P462" t="s">
        <v>808</v>
      </c>
      <c r="Q462" t="s">
        <v>129</v>
      </c>
      <c r="R462" t="s">
        <v>165</v>
      </c>
      <c r="S462" t="s">
        <v>35</v>
      </c>
      <c r="T462" s="5">
        <v>213456</v>
      </c>
    </row>
    <row r="463" spans="16:20">
      <c r="P463" t="s">
        <v>809</v>
      </c>
      <c r="Q463" t="s">
        <v>72</v>
      </c>
      <c r="R463" t="s">
        <v>79</v>
      </c>
      <c r="S463" t="s">
        <v>26</v>
      </c>
      <c r="T463" s="5">
        <v>15905</v>
      </c>
    </row>
    <row r="464" spans="16:20">
      <c r="P464" t="s">
        <v>811</v>
      </c>
      <c r="Q464" t="s">
        <v>78</v>
      </c>
      <c r="R464" t="s">
        <v>46</v>
      </c>
      <c r="S464" t="s">
        <v>42</v>
      </c>
      <c r="T464" s="5">
        <v>4860</v>
      </c>
    </row>
    <row r="465" spans="16:20">
      <c r="P465" t="s">
        <v>812</v>
      </c>
      <c r="Q465" t="s">
        <v>103</v>
      </c>
      <c r="R465" t="s">
        <v>159</v>
      </c>
      <c r="S465" t="s">
        <v>42</v>
      </c>
      <c r="T465" s="5">
        <v>34086</v>
      </c>
    </row>
    <row r="466" spans="16:20">
      <c r="P466" t="s">
        <v>813</v>
      </c>
      <c r="Q466" t="s">
        <v>129</v>
      </c>
      <c r="R466" t="s">
        <v>69</v>
      </c>
      <c r="S466" t="s">
        <v>26</v>
      </c>
      <c r="T466" s="5">
        <v>12012</v>
      </c>
    </row>
    <row r="467" spans="16:20">
      <c r="P467" t="s">
        <v>814</v>
      </c>
      <c r="Q467" t="s">
        <v>179</v>
      </c>
      <c r="R467" t="s">
        <v>97</v>
      </c>
      <c r="S467" t="s">
        <v>35</v>
      </c>
      <c r="T467" s="5">
        <v>48552</v>
      </c>
    </row>
    <row r="468" spans="16:20">
      <c r="P468" t="s">
        <v>815</v>
      </c>
      <c r="Q468" t="s">
        <v>40</v>
      </c>
      <c r="R468" t="s">
        <v>46</v>
      </c>
      <c r="S468" t="s">
        <v>42</v>
      </c>
      <c r="T468" s="5">
        <v>38570</v>
      </c>
    </row>
    <row r="469" spans="16:20">
      <c r="P469" t="s">
        <v>816</v>
      </c>
      <c r="Q469" t="s">
        <v>179</v>
      </c>
      <c r="R469" t="s">
        <v>69</v>
      </c>
      <c r="S469" t="s">
        <v>26</v>
      </c>
      <c r="T469" s="5">
        <v>9906</v>
      </c>
    </row>
    <row r="470" spans="16:20">
      <c r="P470" t="s">
        <v>817</v>
      </c>
      <c r="Q470" t="s">
        <v>72</v>
      </c>
      <c r="R470" t="s">
        <v>69</v>
      </c>
      <c r="S470" t="s">
        <v>26</v>
      </c>
      <c r="T470" s="5">
        <v>41965</v>
      </c>
    </row>
    <row r="471" spans="16:20">
      <c r="P471" t="s">
        <v>818</v>
      </c>
      <c r="Q471" t="s">
        <v>45</v>
      </c>
      <c r="R471" t="s">
        <v>218</v>
      </c>
      <c r="S471" t="s">
        <v>17</v>
      </c>
      <c r="T471" s="5">
        <v>3921</v>
      </c>
    </row>
    <row r="472" spans="16:20">
      <c r="P472" t="s">
        <v>819</v>
      </c>
      <c r="Q472" t="s">
        <v>24</v>
      </c>
      <c r="R472" t="s">
        <v>69</v>
      </c>
      <c r="S472" t="s">
        <v>26</v>
      </c>
      <c r="T472" s="5">
        <v>81800</v>
      </c>
    </row>
    <row r="473" spans="16:20">
      <c r="P473" t="s">
        <v>820</v>
      </c>
      <c r="Q473" t="s">
        <v>33</v>
      </c>
      <c r="R473" t="s">
        <v>97</v>
      </c>
      <c r="S473" t="s">
        <v>35</v>
      </c>
      <c r="T473" s="5">
        <v>28296</v>
      </c>
    </row>
    <row r="474" spans="16:20">
      <c r="P474" t="s">
        <v>821</v>
      </c>
      <c r="Q474" t="s">
        <v>103</v>
      </c>
      <c r="R474" t="s">
        <v>79</v>
      </c>
      <c r="S474" t="s">
        <v>26</v>
      </c>
      <c r="T474" s="5">
        <v>17940</v>
      </c>
    </row>
    <row r="475" spans="16:20">
      <c r="P475" t="s">
        <v>822</v>
      </c>
      <c r="Q475" t="s">
        <v>68</v>
      </c>
      <c r="R475" t="s">
        <v>59</v>
      </c>
      <c r="S475" t="s">
        <v>26</v>
      </c>
      <c r="T475" s="5">
        <v>8744</v>
      </c>
    </row>
    <row r="476" spans="16:20">
      <c r="P476" t="s">
        <v>823</v>
      </c>
      <c r="Q476" t="s">
        <v>72</v>
      </c>
      <c r="R476" t="s">
        <v>147</v>
      </c>
      <c r="S476" t="s">
        <v>52</v>
      </c>
      <c r="T476" s="5">
        <v>5816</v>
      </c>
    </row>
    <row r="477" spans="16:20">
      <c r="P477" t="s">
        <v>824</v>
      </c>
      <c r="Q477" t="s">
        <v>133</v>
      </c>
      <c r="R477" t="s">
        <v>113</v>
      </c>
      <c r="S477" t="s">
        <v>35</v>
      </c>
      <c r="T477" s="5">
        <v>128788</v>
      </c>
    </row>
    <row r="478" spans="16:20">
      <c r="P478" t="s">
        <v>826</v>
      </c>
      <c r="Q478" t="s">
        <v>103</v>
      </c>
      <c r="R478" t="s">
        <v>116</v>
      </c>
      <c r="S478" t="s">
        <v>17</v>
      </c>
      <c r="T478" s="5">
        <v>702</v>
      </c>
    </row>
    <row r="479" spans="16:20">
      <c r="P479" t="s">
        <v>827</v>
      </c>
      <c r="Q479" t="s">
        <v>58</v>
      </c>
      <c r="R479" t="s">
        <v>16</v>
      </c>
      <c r="S479" t="s">
        <v>17</v>
      </c>
      <c r="T479" s="5">
        <v>6012</v>
      </c>
    </row>
    <row r="480" spans="16:20">
      <c r="P480" t="s">
        <v>828</v>
      </c>
      <c r="Q480" t="s">
        <v>78</v>
      </c>
      <c r="R480" t="s">
        <v>79</v>
      </c>
      <c r="S480" t="s">
        <v>26</v>
      </c>
      <c r="T480" s="5">
        <v>7876</v>
      </c>
    </row>
    <row r="481" spans="16:20">
      <c r="P481" t="s">
        <v>830</v>
      </c>
      <c r="Q481" t="s">
        <v>133</v>
      </c>
      <c r="R481" t="s">
        <v>69</v>
      </c>
      <c r="S481" t="s">
        <v>26</v>
      </c>
      <c r="T481" s="5">
        <v>21057</v>
      </c>
    </row>
    <row r="482" spans="16:20">
      <c r="P482" t="s">
        <v>831</v>
      </c>
      <c r="Q482" t="s">
        <v>68</v>
      </c>
      <c r="R482" t="s">
        <v>41</v>
      </c>
      <c r="S482" t="s">
        <v>42</v>
      </c>
      <c r="T482" s="5">
        <v>15792</v>
      </c>
    </row>
    <row r="483" spans="16:20">
      <c r="P483" t="s">
        <v>832</v>
      </c>
      <c r="Q483" t="s">
        <v>129</v>
      </c>
      <c r="R483" t="s">
        <v>59</v>
      </c>
      <c r="S483" t="s">
        <v>26</v>
      </c>
      <c r="T483" s="5">
        <v>31144</v>
      </c>
    </row>
    <row r="484" spans="16:20">
      <c r="P484" t="s">
        <v>834</v>
      </c>
      <c r="Q484" t="s">
        <v>75</v>
      </c>
      <c r="R484" t="s">
        <v>116</v>
      </c>
      <c r="S484" t="s">
        <v>17</v>
      </c>
      <c r="T484" s="5">
        <v>1088</v>
      </c>
    </row>
    <row r="485" spans="16:20">
      <c r="P485" t="s">
        <v>835</v>
      </c>
      <c r="Q485" t="s">
        <v>129</v>
      </c>
      <c r="R485" t="s">
        <v>51</v>
      </c>
      <c r="S485" t="s">
        <v>52</v>
      </c>
      <c r="T485" s="5">
        <v>9176</v>
      </c>
    </row>
    <row r="486" spans="16:20">
      <c r="P486" t="s">
        <v>836</v>
      </c>
      <c r="Q486" t="s">
        <v>15</v>
      </c>
      <c r="R486" t="s">
        <v>59</v>
      </c>
      <c r="S486" t="s">
        <v>26</v>
      </c>
      <c r="T486" s="5">
        <v>71576</v>
      </c>
    </row>
    <row r="487" spans="16:20">
      <c r="P487" t="s">
        <v>838</v>
      </c>
      <c r="Q487" t="s">
        <v>112</v>
      </c>
      <c r="R487" t="s">
        <v>41</v>
      </c>
      <c r="S487" t="s">
        <v>42</v>
      </c>
      <c r="T487" s="5">
        <v>22260</v>
      </c>
    </row>
    <row r="488" spans="16:20">
      <c r="P488" t="s">
        <v>839</v>
      </c>
      <c r="Q488" t="s">
        <v>133</v>
      </c>
      <c r="R488" t="s">
        <v>97</v>
      </c>
      <c r="S488" t="s">
        <v>35</v>
      </c>
      <c r="T488" s="5">
        <v>366740</v>
      </c>
    </row>
    <row r="489" spans="16:20">
      <c r="P489" t="s">
        <v>840</v>
      </c>
      <c r="Q489" t="s">
        <v>24</v>
      </c>
      <c r="R489" t="s">
        <v>97</v>
      </c>
      <c r="S489" t="s">
        <v>35</v>
      </c>
      <c r="T489" s="5">
        <v>205456</v>
      </c>
    </row>
    <row r="490" spans="16:20">
      <c r="P490" t="s">
        <v>842</v>
      </c>
      <c r="Q490" t="s">
        <v>112</v>
      </c>
      <c r="R490" t="s">
        <v>97</v>
      </c>
      <c r="S490" t="s">
        <v>35</v>
      </c>
      <c r="T490" s="5">
        <v>150170</v>
      </c>
    </row>
    <row r="491" spans="16:20">
      <c r="P491" t="s">
        <v>844</v>
      </c>
      <c r="Q491" t="s">
        <v>129</v>
      </c>
      <c r="R491" t="s">
        <v>90</v>
      </c>
      <c r="S491" t="s">
        <v>42</v>
      </c>
      <c r="T491" s="5">
        <v>5580</v>
      </c>
    </row>
    <row r="492" spans="16:20">
      <c r="P492" t="s">
        <v>845</v>
      </c>
      <c r="Q492" t="s">
        <v>40</v>
      </c>
      <c r="R492" t="s">
        <v>41</v>
      </c>
      <c r="S492" t="s">
        <v>42</v>
      </c>
      <c r="T492" s="5">
        <v>6972</v>
      </c>
    </row>
    <row r="493" spans="16:20">
      <c r="P493" t="s">
        <v>847</v>
      </c>
      <c r="Q493" t="s">
        <v>58</v>
      </c>
      <c r="R493" t="s">
        <v>113</v>
      </c>
      <c r="S493" t="s">
        <v>35</v>
      </c>
      <c r="T493" s="5">
        <v>135732</v>
      </c>
    </row>
    <row r="494" spans="16:20">
      <c r="P494" t="s">
        <v>848</v>
      </c>
      <c r="Q494" t="s">
        <v>68</v>
      </c>
      <c r="R494" t="s">
        <v>116</v>
      </c>
      <c r="S494" t="s">
        <v>17</v>
      </c>
      <c r="T494" s="5">
        <v>948</v>
      </c>
    </row>
    <row r="495" spans="16:20">
      <c r="P495" t="s">
        <v>849</v>
      </c>
      <c r="Q495" t="s">
        <v>78</v>
      </c>
      <c r="R495" t="s">
        <v>46</v>
      </c>
      <c r="S495" t="s">
        <v>42</v>
      </c>
      <c r="T495" s="5">
        <v>23855</v>
      </c>
    </row>
    <row r="496" spans="16:20">
      <c r="P496" t="s">
        <v>850</v>
      </c>
      <c r="Q496" t="s">
        <v>58</v>
      </c>
      <c r="R496" t="s">
        <v>218</v>
      </c>
      <c r="S496" t="s">
        <v>17</v>
      </c>
      <c r="T496" s="5">
        <v>5334</v>
      </c>
    </row>
    <row r="497" spans="16:20">
      <c r="P497" t="s">
        <v>851</v>
      </c>
      <c r="Q497" t="s">
        <v>103</v>
      </c>
      <c r="R497" t="s">
        <v>109</v>
      </c>
      <c r="S497" t="s">
        <v>52</v>
      </c>
      <c r="T497" s="5">
        <v>7390</v>
      </c>
    </row>
    <row r="498" spans="16:20">
      <c r="P498" t="s">
        <v>852</v>
      </c>
      <c r="Q498" t="s">
        <v>58</v>
      </c>
      <c r="R498" t="s">
        <v>86</v>
      </c>
      <c r="S498" t="s">
        <v>17</v>
      </c>
      <c r="T498" s="5">
        <v>5888</v>
      </c>
    </row>
    <row r="499" spans="16:20">
      <c r="P499" t="s">
        <v>853</v>
      </c>
      <c r="Q499" t="s">
        <v>179</v>
      </c>
      <c r="R499" t="s">
        <v>97</v>
      </c>
      <c r="S499" t="s">
        <v>35</v>
      </c>
      <c r="T499" s="5">
        <v>238268</v>
      </c>
    </row>
    <row r="500" spans="16:20">
      <c r="P500" t="s">
        <v>854</v>
      </c>
      <c r="Q500" t="s">
        <v>146</v>
      </c>
      <c r="R500" t="s">
        <v>109</v>
      </c>
      <c r="S500" t="s">
        <v>52</v>
      </c>
      <c r="T500" s="5">
        <v>4904</v>
      </c>
    </row>
    <row r="501" spans="16:20">
      <c r="P501" t="s">
        <v>855</v>
      </c>
      <c r="Q501" t="s">
        <v>125</v>
      </c>
      <c r="R501" t="s">
        <v>86</v>
      </c>
      <c r="S501" t="s">
        <v>17</v>
      </c>
      <c r="T501" s="5">
        <v>2895</v>
      </c>
    </row>
    <row r="502" spans="16:20">
      <c r="P502" t="s">
        <v>856</v>
      </c>
      <c r="Q502" t="s">
        <v>112</v>
      </c>
      <c r="R502" t="s">
        <v>165</v>
      </c>
      <c r="S502" t="s">
        <v>35</v>
      </c>
      <c r="T502" s="5">
        <v>28672</v>
      </c>
    </row>
    <row r="503" spans="16:20">
      <c r="P503" t="s">
        <v>857</v>
      </c>
      <c r="Q503" t="s">
        <v>72</v>
      </c>
      <c r="R503" t="s">
        <v>86</v>
      </c>
      <c r="S503" t="s">
        <v>17</v>
      </c>
      <c r="T503" s="5">
        <v>1882</v>
      </c>
    </row>
    <row r="504" spans="16:20">
      <c r="P504" t="s">
        <v>858</v>
      </c>
      <c r="Q504" t="s">
        <v>170</v>
      </c>
      <c r="R504" t="s">
        <v>97</v>
      </c>
      <c r="S504" t="s">
        <v>35</v>
      </c>
      <c r="T504" s="5">
        <v>333860</v>
      </c>
    </row>
    <row r="505" spans="16:20">
      <c r="P505" t="s">
        <v>867</v>
      </c>
      <c r="T505" s="5">
        <v>23006417</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T7:U12"/>
  <sheetViews>
    <sheetView showGridLines="0" tabSelected="1" zoomScale="85" zoomScaleNormal="85" workbookViewId="0">
      <selection activeCell="V11" sqref="V11"/>
    </sheetView>
  </sheetViews>
  <sheetFormatPr defaultRowHeight="14.25"/>
  <sheetData>
    <row r="7" spans="20:21" ht="18">
      <c r="T7" s="16"/>
    </row>
    <row r="12" spans="20:21" ht="18">
      <c r="U12"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1"/>
  <sheetViews>
    <sheetView topLeftCell="A2" workbookViewId="0">
      <selection sqref="A1:M501"/>
    </sheetView>
  </sheetViews>
  <sheetFormatPr defaultRowHeight="14.25"/>
  <cols>
    <col min="1" max="1" width="10" customWidth="1"/>
    <col min="2" max="2" width="10.375" bestFit="1" customWidth="1"/>
    <col min="3" max="3" width="16.5" customWidth="1"/>
    <col min="4" max="4" width="15.5" bestFit="1" customWidth="1"/>
    <col min="5" max="5" width="10" bestFit="1" customWidth="1"/>
    <col min="6" max="6" width="11.25" bestFit="1" customWidth="1"/>
    <col min="7" max="7" width="10.375" bestFit="1" customWidth="1"/>
    <col min="8" max="8" width="16.625" customWidth="1"/>
    <col min="9" max="9" width="7.25" customWidth="1"/>
    <col min="10" max="10" width="9.5" customWidth="1"/>
    <col min="11" max="11" width="7.875" customWidth="1"/>
    <col min="12" max="12" width="9.25" customWidth="1"/>
    <col min="13" max="13" width="7.87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v>3028</v>
      </c>
      <c r="J2">
        <v>4</v>
      </c>
      <c r="K2">
        <v>4.3</v>
      </c>
      <c r="L2">
        <v>1</v>
      </c>
      <c r="M2" t="s">
        <v>21</v>
      </c>
    </row>
    <row r="3" spans="1:13">
      <c r="A3" t="s">
        <v>22</v>
      </c>
      <c r="B3" t="s">
        <v>23</v>
      </c>
      <c r="C3" t="s">
        <v>24</v>
      </c>
      <c r="D3" t="s">
        <v>25</v>
      </c>
      <c r="E3" t="s">
        <v>26</v>
      </c>
      <c r="F3" t="s">
        <v>27</v>
      </c>
      <c r="G3" t="s">
        <v>28</v>
      </c>
      <c r="H3" t="s">
        <v>29</v>
      </c>
      <c r="I3">
        <v>32636</v>
      </c>
      <c r="J3">
        <v>4</v>
      </c>
      <c r="K3">
        <v>4.3</v>
      </c>
      <c r="L3">
        <v>1</v>
      </c>
      <c r="M3" t="s">
        <v>30</v>
      </c>
    </row>
    <row r="4" spans="1:13">
      <c r="A4" t="s">
        <v>31</v>
      </c>
      <c r="B4" t="s">
        <v>32</v>
      </c>
      <c r="C4" t="s">
        <v>33</v>
      </c>
      <c r="D4" t="s">
        <v>34</v>
      </c>
      <c r="E4" t="s">
        <v>35</v>
      </c>
      <c r="F4" t="s">
        <v>27</v>
      </c>
      <c r="G4" t="s">
        <v>28</v>
      </c>
      <c r="H4" t="s">
        <v>36</v>
      </c>
      <c r="I4">
        <v>313782</v>
      </c>
      <c r="J4">
        <v>6</v>
      </c>
      <c r="K4">
        <v>4.7</v>
      </c>
      <c r="L4">
        <v>5</v>
      </c>
      <c r="M4" t="s">
        <v>37</v>
      </c>
    </row>
    <row r="5" spans="1:13">
      <c r="A5" t="s">
        <v>38</v>
      </c>
      <c r="B5" t="s">
        <v>39</v>
      </c>
      <c r="C5" t="s">
        <v>40</v>
      </c>
      <c r="D5" t="s">
        <v>41</v>
      </c>
      <c r="E5" t="s">
        <v>42</v>
      </c>
      <c r="F5" t="s">
        <v>18</v>
      </c>
      <c r="G5" t="s">
        <v>19</v>
      </c>
      <c r="H5" t="s">
        <v>36</v>
      </c>
      <c r="I5">
        <v>11375</v>
      </c>
      <c r="J5">
        <v>5</v>
      </c>
      <c r="K5">
        <v>3.3</v>
      </c>
      <c r="L5">
        <v>4</v>
      </c>
      <c r="M5" t="s">
        <v>30</v>
      </c>
    </row>
    <row r="6" spans="1:13">
      <c r="A6" t="s">
        <v>43</v>
      </c>
      <c r="B6" t="s">
        <v>44</v>
      </c>
      <c r="C6" t="s">
        <v>45</v>
      </c>
      <c r="D6" t="s">
        <v>46</v>
      </c>
      <c r="E6" t="s">
        <v>42</v>
      </c>
      <c r="F6" t="s">
        <v>27</v>
      </c>
      <c r="G6" t="s">
        <v>19</v>
      </c>
      <c r="H6" t="s">
        <v>20</v>
      </c>
      <c r="I6">
        <v>14496</v>
      </c>
      <c r="J6">
        <v>6</v>
      </c>
      <c r="K6">
        <v>3.7</v>
      </c>
      <c r="L6">
        <v>2</v>
      </c>
      <c r="M6" t="s">
        <v>47</v>
      </c>
    </row>
    <row r="7" spans="1:13">
      <c r="A7" t="s">
        <v>48</v>
      </c>
      <c r="B7" t="s">
        <v>49</v>
      </c>
      <c r="C7" t="s">
        <v>50</v>
      </c>
      <c r="D7" t="s">
        <v>51</v>
      </c>
      <c r="E7" t="s">
        <v>52</v>
      </c>
      <c r="F7" t="s">
        <v>53</v>
      </c>
      <c r="G7" t="s">
        <v>54</v>
      </c>
      <c r="H7" t="s">
        <v>20</v>
      </c>
      <c r="I7">
        <v>5745</v>
      </c>
      <c r="J7">
        <v>5</v>
      </c>
      <c r="K7">
        <v>4.7</v>
      </c>
      <c r="L7">
        <v>6</v>
      </c>
      <c r="M7" t="s">
        <v>55</v>
      </c>
    </row>
    <row r="8" spans="1:13">
      <c r="A8" t="s">
        <v>56</v>
      </c>
      <c r="B8" t="s">
        <v>57</v>
      </c>
      <c r="C8" t="s">
        <v>58</v>
      </c>
      <c r="D8" t="s">
        <v>59</v>
      </c>
      <c r="E8" t="s">
        <v>26</v>
      </c>
      <c r="F8" t="s">
        <v>60</v>
      </c>
      <c r="G8" t="s">
        <v>28</v>
      </c>
      <c r="H8" t="s">
        <v>29</v>
      </c>
      <c r="I8">
        <v>24696</v>
      </c>
      <c r="J8">
        <v>8</v>
      </c>
      <c r="K8">
        <v>3.6</v>
      </c>
      <c r="L8">
        <v>5</v>
      </c>
      <c r="M8" t="s">
        <v>37</v>
      </c>
    </row>
    <row r="9" spans="1:13">
      <c r="A9" t="s">
        <v>61</v>
      </c>
      <c r="B9" t="s">
        <v>62</v>
      </c>
      <c r="C9" t="s">
        <v>45</v>
      </c>
      <c r="D9" t="s">
        <v>63</v>
      </c>
      <c r="E9" t="s">
        <v>52</v>
      </c>
      <c r="F9" t="s">
        <v>18</v>
      </c>
      <c r="G9" t="s">
        <v>28</v>
      </c>
      <c r="H9" t="s">
        <v>64</v>
      </c>
      <c r="I9">
        <v>3536</v>
      </c>
      <c r="J9">
        <v>8</v>
      </c>
      <c r="K9">
        <v>3.5</v>
      </c>
      <c r="L9">
        <v>7</v>
      </c>
      <c r="M9" t="s">
        <v>65</v>
      </c>
    </row>
    <row r="10" spans="1:13">
      <c r="A10" t="s">
        <v>66</v>
      </c>
      <c r="B10" t="s">
        <v>67</v>
      </c>
      <c r="C10" t="s">
        <v>68</v>
      </c>
      <c r="D10" t="s">
        <v>69</v>
      </c>
      <c r="E10" t="s">
        <v>26</v>
      </c>
      <c r="F10" t="s">
        <v>53</v>
      </c>
      <c r="G10" t="s">
        <v>28</v>
      </c>
      <c r="H10" t="s">
        <v>20</v>
      </c>
      <c r="I10">
        <v>25855</v>
      </c>
      <c r="J10">
        <v>5</v>
      </c>
      <c r="K10">
        <v>4.5999999999999996</v>
      </c>
      <c r="L10">
        <v>6</v>
      </c>
      <c r="M10" t="s">
        <v>65</v>
      </c>
    </row>
    <row r="11" spans="1:13">
      <c r="A11" t="s">
        <v>70</v>
      </c>
      <c r="B11" t="s">
        <v>71</v>
      </c>
      <c r="C11" t="s">
        <v>72</v>
      </c>
      <c r="D11" t="s">
        <v>41</v>
      </c>
      <c r="E11" t="s">
        <v>42</v>
      </c>
      <c r="F11" t="s">
        <v>53</v>
      </c>
      <c r="G11" t="s">
        <v>19</v>
      </c>
      <c r="H11" t="s">
        <v>36</v>
      </c>
      <c r="I11">
        <v>9432</v>
      </c>
      <c r="J11">
        <v>3</v>
      </c>
      <c r="K11">
        <v>4.0999999999999996</v>
      </c>
      <c r="L11">
        <v>4</v>
      </c>
      <c r="M11" t="s">
        <v>21</v>
      </c>
    </row>
    <row r="12" spans="1:13">
      <c r="A12" t="s">
        <v>73</v>
      </c>
      <c r="B12" t="s">
        <v>74</v>
      </c>
      <c r="C12" t="s">
        <v>75</v>
      </c>
      <c r="D12" t="s">
        <v>59</v>
      </c>
      <c r="E12" t="s">
        <v>26</v>
      </c>
      <c r="F12" t="s">
        <v>27</v>
      </c>
      <c r="G12" t="s">
        <v>28</v>
      </c>
      <c r="H12" t="s">
        <v>36</v>
      </c>
      <c r="I12">
        <v>1749</v>
      </c>
      <c r="J12">
        <v>1</v>
      </c>
      <c r="K12">
        <v>3.6</v>
      </c>
      <c r="L12">
        <v>2</v>
      </c>
      <c r="M12" t="s">
        <v>65</v>
      </c>
    </row>
    <row r="13" spans="1:13">
      <c r="A13" t="s">
        <v>76</v>
      </c>
      <c r="B13" t="s">
        <v>77</v>
      </c>
      <c r="C13" t="s">
        <v>78</v>
      </c>
      <c r="D13" t="s">
        <v>79</v>
      </c>
      <c r="E13" t="s">
        <v>26</v>
      </c>
      <c r="F13" t="s">
        <v>27</v>
      </c>
      <c r="G13" t="s">
        <v>19</v>
      </c>
      <c r="H13" t="s">
        <v>29</v>
      </c>
      <c r="I13">
        <v>85904</v>
      </c>
      <c r="J13">
        <v>8</v>
      </c>
      <c r="K13">
        <v>4</v>
      </c>
      <c r="L13">
        <v>4</v>
      </c>
      <c r="M13" t="s">
        <v>80</v>
      </c>
    </row>
    <row r="14" spans="1:13">
      <c r="A14" t="s">
        <v>81</v>
      </c>
      <c r="B14" t="s">
        <v>82</v>
      </c>
      <c r="C14" t="s">
        <v>58</v>
      </c>
      <c r="D14" t="s">
        <v>46</v>
      </c>
      <c r="E14" t="s">
        <v>42</v>
      </c>
      <c r="F14" t="s">
        <v>83</v>
      </c>
      <c r="G14" t="s">
        <v>54</v>
      </c>
      <c r="H14" t="s">
        <v>36</v>
      </c>
      <c r="I14">
        <v>9792</v>
      </c>
      <c r="J14">
        <v>8</v>
      </c>
      <c r="K14">
        <v>3.2</v>
      </c>
      <c r="L14">
        <v>4</v>
      </c>
      <c r="M14" t="s">
        <v>47</v>
      </c>
    </row>
    <row r="15" spans="1:13">
      <c r="A15" t="s">
        <v>84</v>
      </c>
      <c r="B15" t="s">
        <v>85</v>
      </c>
      <c r="C15" t="s">
        <v>78</v>
      </c>
      <c r="D15" t="s">
        <v>86</v>
      </c>
      <c r="E15" t="s">
        <v>17</v>
      </c>
      <c r="F15" t="s">
        <v>83</v>
      </c>
      <c r="G15" t="s">
        <v>28</v>
      </c>
      <c r="H15" t="s">
        <v>20</v>
      </c>
      <c r="I15">
        <v>976</v>
      </c>
      <c r="J15">
        <v>1</v>
      </c>
      <c r="K15">
        <v>4.4000000000000004</v>
      </c>
      <c r="L15">
        <v>4</v>
      </c>
      <c r="M15" t="s">
        <v>87</v>
      </c>
    </row>
    <row r="16" spans="1:13">
      <c r="A16" t="s">
        <v>88</v>
      </c>
      <c r="B16" t="s">
        <v>89</v>
      </c>
      <c r="C16" t="s">
        <v>68</v>
      </c>
      <c r="D16" t="s">
        <v>90</v>
      </c>
      <c r="E16" t="s">
        <v>42</v>
      </c>
      <c r="F16" t="s">
        <v>18</v>
      </c>
      <c r="G16" t="s">
        <v>28</v>
      </c>
      <c r="H16" t="s">
        <v>29</v>
      </c>
      <c r="I16">
        <v>8338</v>
      </c>
      <c r="J16">
        <v>2</v>
      </c>
      <c r="K16">
        <v>4</v>
      </c>
      <c r="L16">
        <v>1</v>
      </c>
      <c r="M16" t="s">
        <v>37</v>
      </c>
    </row>
    <row r="17" spans="1:13">
      <c r="A17" t="s">
        <v>91</v>
      </c>
      <c r="B17" t="s">
        <v>92</v>
      </c>
      <c r="C17" t="s">
        <v>75</v>
      </c>
      <c r="D17" t="s">
        <v>86</v>
      </c>
      <c r="E17" t="s">
        <v>17</v>
      </c>
      <c r="F17" t="s">
        <v>60</v>
      </c>
      <c r="G17" t="s">
        <v>54</v>
      </c>
      <c r="H17" t="s">
        <v>36</v>
      </c>
      <c r="I17">
        <v>5592</v>
      </c>
      <c r="J17">
        <v>4</v>
      </c>
      <c r="K17">
        <v>3.7</v>
      </c>
      <c r="L17">
        <v>4</v>
      </c>
      <c r="M17" t="s">
        <v>37</v>
      </c>
    </row>
    <row r="18" spans="1:13">
      <c r="A18" t="s">
        <v>93</v>
      </c>
      <c r="B18" t="s">
        <v>94</v>
      </c>
      <c r="C18" t="s">
        <v>24</v>
      </c>
      <c r="D18" t="s">
        <v>25</v>
      </c>
      <c r="E18" t="s">
        <v>26</v>
      </c>
      <c r="F18" t="s">
        <v>60</v>
      </c>
      <c r="G18" t="s">
        <v>54</v>
      </c>
      <c r="H18" t="s">
        <v>64</v>
      </c>
      <c r="I18">
        <v>17208</v>
      </c>
      <c r="J18">
        <v>4</v>
      </c>
      <c r="K18">
        <v>4.8</v>
      </c>
      <c r="L18">
        <v>1</v>
      </c>
      <c r="M18" t="s">
        <v>87</v>
      </c>
    </row>
    <row r="19" spans="1:13">
      <c r="A19" t="s">
        <v>95</v>
      </c>
      <c r="B19" t="s">
        <v>96</v>
      </c>
      <c r="C19" t="s">
        <v>58</v>
      </c>
      <c r="D19" t="s">
        <v>97</v>
      </c>
      <c r="E19" t="s">
        <v>35</v>
      </c>
      <c r="F19" t="s">
        <v>27</v>
      </c>
      <c r="G19" t="s">
        <v>54</v>
      </c>
      <c r="H19" t="s">
        <v>29</v>
      </c>
      <c r="I19">
        <v>159523</v>
      </c>
      <c r="J19">
        <v>7</v>
      </c>
      <c r="K19">
        <v>3.6</v>
      </c>
      <c r="L19">
        <v>1</v>
      </c>
      <c r="M19" t="s">
        <v>21</v>
      </c>
    </row>
    <row r="20" spans="1:13">
      <c r="A20" t="s">
        <v>98</v>
      </c>
      <c r="B20" t="s">
        <v>99</v>
      </c>
      <c r="C20" t="s">
        <v>75</v>
      </c>
      <c r="D20" t="s">
        <v>16</v>
      </c>
      <c r="E20" t="s">
        <v>17</v>
      </c>
      <c r="F20" t="s">
        <v>100</v>
      </c>
      <c r="G20" t="s">
        <v>54</v>
      </c>
      <c r="H20" t="s">
        <v>20</v>
      </c>
      <c r="I20">
        <v>10632</v>
      </c>
      <c r="J20">
        <v>8</v>
      </c>
      <c r="K20">
        <v>3.3</v>
      </c>
      <c r="L20">
        <v>3</v>
      </c>
      <c r="M20" t="s">
        <v>30</v>
      </c>
    </row>
    <row r="21" spans="1:13">
      <c r="A21" t="s">
        <v>101</v>
      </c>
      <c r="B21" t="s">
        <v>102</v>
      </c>
      <c r="C21" t="s">
        <v>103</v>
      </c>
      <c r="D21" t="s">
        <v>41</v>
      </c>
      <c r="E21" t="s">
        <v>42</v>
      </c>
      <c r="F21" t="s">
        <v>100</v>
      </c>
      <c r="G21" t="s">
        <v>104</v>
      </c>
      <c r="H21" t="s">
        <v>20</v>
      </c>
      <c r="I21">
        <v>5484</v>
      </c>
      <c r="J21">
        <v>4</v>
      </c>
      <c r="K21">
        <v>4.4000000000000004</v>
      </c>
      <c r="L21">
        <v>6</v>
      </c>
      <c r="M21" t="s">
        <v>30</v>
      </c>
    </row>
    <row r="22" spans="1:13">
      <c r="A22" t="s">
        <v>105</v>
      </c>
      <c r="B22" t="s">
        <v>106</v>
      </c>
      <c r="C22" t="s">
        <v>75</v>
      </c>
      <c r="D22" t="s">
        <v>97</v>
      </c>
      <c r="E22" t="s">
        <v>35</v>
      </c>
      <c r="F22" t="s">
        <v>100</v>
      </c>
      <c r="G22" t="s">
        <v>19</v>
      </c>
      <c r="H22" t="s">
        <v>29</v>
      </c>
      <c r="I22">
        <v>60040</v>
      </c>
      <c r="J22">
        <v>5</v>
      </c>
      <c r="K22">
        <v>4.3</v>
      </c>
      <c r="L22">
        <v>2</v>
      </c>
      <c r="M22" t="s">
        <v>80</v>
      </c>
    </row>
    <row r="23" spans="1:13">
      <c r="A23" t="s">
        <v>107</v>
      </c>
      <c r="B23" t="s">
        <v>108</v>
      </c>
      <c r="C23" t="s">
        <v>78</v>
      </c>
      <c r="D23" t="s">
        <v>109</v>
      </c>
      <c r="E23" t="s">
        <v>52</v>
      </c>
      <c r="F23" t="s">
        <v>53</v>
      </c>
      <c r="G23" t="s">
        <v>54</v>
      </c>
      <c r="H23" t="s">
        <v>20</v>
      </c>
      <c r="I23">
        <v>5668</v>
      </c>
      <c r="J23">
        <v>4</v>
      </c>
      <c r="K23">
        <v>4.5</v>
      </c>
      <c r="L23">
        <v>1</v>
      </c>
      <c r="M23" t="s">
        <v>87</v>
      </c>
    </row>
    <row r="24" spans="1:13">
      <c r="A24" t="s">
        <v>110</v>
      </c>
      <c r="B24" t="s">
        <v>111</v>
      </c>
      <c r="C24" t="s">
        <v>112</v>
      </c>
      <c r="D24" t="s">
        <v>113</v>
      </c>
      <c r="E24" t="s">
        <v>35</v>
      </c>
      <c r="F24" t="s">
        <v>60</v>
      </c>
      <c r="G24" t="s">
        <v>104</v>
      </c>
      <c r="H24" t="s">
        <v>36</v>
      </c>
      <c r="I24">
        <v>245328</v>
      </c>
      <c r="J24">
        <v>3</v>
      </c>
      <c r="K24">
        <v>3.6</v>
      </c>
      <c r="L24">
        <v>5</v>
      </c>
      <c r="M24" t="s">
        <v>87</v>
      </c>
    </row>
    <row r="25" spans="1:13">
      <c r="A25" t="s">
        <v>114</v>
      </c>
      <c r="B25" t="s">
        <v>115</v>
      </c>
      <c r="C25" t="s">
        <v>78</v>
      </c>
      <c r="D25" t="s">
        <v>116</v>
      </c>
      <c r="E25" t="s">
        <v>17</v>
      </c>
      <c r="F25" t="s">
        <v>27</v>
      </c>
      <c r="G25" t="s">
        <v>28</v>
      </c>
      <c r="H25" t="s">
        <v>36</v>
      </c>
      <c r="I25">
        <v>307</v>
      </c>
      <c r="J25">
        <v>1</v>
      </c>
      <c r="K25">
        <v>3.5</v>
      </c>
      <c r="L25">
        <v>8</v>
      </c>
      <c r="M25" t="s">
        <v>21</v>
      </c>
    </row>
    <row r="26" spans="1:13">
      <c r="A26" t="s">
        <v>117</v>
      </c>
      <c r="B26" t="s">
        <v>118</v>
      </c>
      <c r="C26" t="s">
        <v>33</v>
      </c>
      <c r="D26" t="s">
        <v>16</v>
      </c>
      <c r="E26" t="s">
        <v>17</v>
      </c>
      <c r="F26" t="s">
        <v>53</v>
      </c>
      <c r="G26" t="s">
        <v>104</v>
      </c>
      <c r="H26" t="s">
        <v>36</v>
      </c>
      <c r="I26">
        <v>4251</v>
      </c>
      <c r="J26">
        <v>3</v>
      </c>
      <c r="K26">
        <v>3.5</v>
      </c>
      <c r="L26">
        <v>3</v>
      </c>
      <c r="M26" t="s">
        <v>119</v>
      </c>
    </row>
    <row r="27" spans="1:13">
      <c r="A27" t="s">
        <v>120</v>
      </c>
      <c r="B27" t="s">
        <v>121</v>
      </c>
      <c r="C27" t="s">
        <v>122</v>
      </c>
      <c r="D27" t="s">
        <v>34</v>
      </c>
      <c r="E27" t="s">
        <v>35</v>
      </c>
      <c r="F27" t="s">
        <v>83</v>
      </c>
      <c r="G27" t="s">
        <v>19</v>
      </c>
      <c r="H27" t="s">
        <v>64</v>
      </c>
      <c r="I27">
        <v>195428</v>
      </c>
      <c r="J27">
        <v>4</v>
      </c>
      <c r="K27">
        <v>5</v>
      </c>
      <c r="L27">
        <v>3</v>
      </c>
      <c r="M27" t="s">
        <v>119</v>
      </c>
    </row>
    <row r="28" spans="1:13">
      <c r="A28" t="s">
        <v>123</v>
      </c>
      <c r="B28" t="s">
        <v>124</v>
      </c>
      <c r="C28" t="s">
        <v>125</v>
      </c>
      <c r="D28" t="s">
        <v>86</v>
      </c>
      <c r="E28" t="s">
        <v>17</v>
      </c>
      <c r="F28" t="s">
        <v>83</v>
      </c>
      <c r="G28" t="s">
        <v>19</v>
      </c>
      <c r="H28" t="s">
        <v>64</v>
      </c>
      <c r="I28">
        <v>11697</v>
      </c>
      <c r="J28">
        <v>7</v>
      </c>
      <c r="K28">
        <v>3.9</v>
      </c>
      <c r="L28">
        <v>1</v>
      </c>
      <c r="M28" t="s">
        <v>126</v>
      </c>
    </row>
    <row r="29" spans="1:13">
      <c r="A29" t="s">
        <v>127</v>
      </c>
      <c r="B29" t="s">
        <v>128</v>
      </c>
      <c r="C29" t="s">
        <v>129</v>
      </c>
      <c r="D29" t="s">
        <v>130</v>
      </c>
      <c r="E29" t="s">
        <v>35</v>
      </c>
      <c r="F29" t="s">
        <v>27</v>
      </c>
      <c r="G29" t="s">
        <v>28</v>
      </c>
      <c r="H29" t="s">
        <v>29</v>
      </c>
      <c r="I29">
        <v>218908</v>
      </c>
      <c r="J29">
        <v>4</v>
      </c>
      <c r="K29">
        <v>4.8</v>
      </c>
      <c r="L29">
        <v>5</v>
      </c>
      <c r="M29" t="s">
        <v>37</v>
      </c>
    </row>
    <row r="30" spans="1:13">
      <c r="A30" t="s">
        <v>131</v>
      </c>
      <c r="B30" t="s">
        <v>132</v>
      </c>
      <c r="C30" t="s">
        <v>133</v>
      </c>
      <c r="D30" t="s">
        <v>16</v>
      </c>
      <c r="E30" t="s">
        <v>17</v>
      </c>
      <c r="F30" t="s">
        <v>100</v>
      </c>
      <c r="G30" t="s">
        <v>54</v>
      </c>
      <c r="H30" t="s">
        <v>64</v>
      </c>
      <c r="I30">
        <v>4467</v>
      </c>
      <c r="J30">
        <v>3</v>
      </c>
      <c r="K30">
        <v>4</v>
      </c>
      <c r="L30">
        <v>6</v>
      </c>
      <c r="M30" t="s">
        <v>21</v>
      </c>
    </row>
    <row r="31" spans="1:13">
      <c r="A31" t="s">
        <v>134</v>
      </c>
      <c r="B31" t="s">
        <v>135</v>
      </c>
      <c r="C31" t="s">
        <v>129</v>
      </c>
      <c r="D31" t="s">
        <v>79</v>
      </c>
      <c r="E31" t="s">
        <v>26</v>
      </c>
      <c r="F31" t="s">
        <v>60</v>
      </c>
      <c r="G31" t="s">
        <v>54</v>
      </c>
      <c r="H31" t="s">
        <v>29</v>
      </c>
      <c r="I31">
        <v>9621</v>
      </c>
      <c r="J31">
        <v>1</v>
      </c>
      <c r="K31">
        <v>4.4000000000000004</v>
      </c>
      <c r="L31">
        <v>4</v>
      </c>
      <c r="M31" t="s">
        <v>21</v>
      </c>
    </row>
    <row r="32" spans="1:13">
      <c r="A32" t="s">
        <v>136</v>
      </c>
      <c r="B32" t="s">
        <v>137</v>
      </c>
      <c r="C32" t="s">
        <v>40</v>
      </c>
      <c r="D32" t="s">
        <v>59</v>
      </c>
      <c r="E32" t="s">
        <v>26</v>
      </c>
      <c r="F32" t="s">
        <v>100</v>
      </c>
      <c r="G32" t="s">
        <v>19</v>
      </c>
      <c r="H32" t="s">
        <v>20</v>
      </c>
      <c r="I32">
        <v>23452</v>
      </c>
      <c r="J32">
        <v>2</v>
      </c>
      <c r="K32">
        <v>3.9</v>
      </c>
      <c r="L32">
        <v>7</v>
      </c>
      <c r="M32" t="s">
        <v>119</v>
      </c>
    </row>
    <row r="33" spans="1:13">
      <c r="A33" t="s">
        <v>138</v>
      </c>
      <c r="B33" t="s">
        <v>139</v>
      </c>
      <c r="C33" t="s">
        <v>133</v>
      </c>
      <c r="D33" t="s">
        <v>90</v>
      </c>
      <c r="E33" t="s">
        <v>42</v>
      </c>
      <c r="F33" t="s">
        <v>100</v>
      </c>
      <c r="G33" t="s">
        <v>104</v>
      </c>
      <c r="H33" t="s">
        <v>64</v>
      </c>
      <c r="I33">
        <v>15564</v>
      </c>
      <c r="J33">
        <v>3</v>
      </c>
      <c r="K33">
        <v>3.7</v>
      </c>
      <c r="L33">
        <v>4</v>
      </c>
      <c r="M33" t="s">
        <v>119</v>
      </c>
    </row>
    <row r="34" spans="1:13">
      <c r="A34" t="s">
        <v>140</v>
      </c>
      <c r="B34" t="s">
        <v>141</v>
      </c>
      <c r="C34" t="s">
        <v>75</v>
      </c>
      <c r="D34" t="s">
        <v>90</v>
      </c>
      <c r="E34" t="s">
        <v>42</v>
      </c>
      <c r="F34" t="s">
        <v>83</v>
      </c>
      <c r="G34" t="s">
        <v>104</v>
      </c>
      <c r="H34" t="s">
        <v>20</v>
      </c>
      <c r="I34">
        <v>5576</v>
      </c>
      <c r="J34">
        <v>4</v>
      </c>
      <c r="K34">
        <v>4.0999999999999996</v>
      </c>
      <c r="L34">
        <v>6</v>
      </c>
      <c r="M34" t="s">
        <v>119</v>
      </c>
    </row>
    <row r="35" spans="1:13">
      <c r="A35" t="s">
        <v>142</v>
      </c>
      <c r="B35" t="s">
        <v>143</v>
      </c>
      <c r="C35" t="s">
        <v>50</v>
      </c>
      <c r="D35" t="s">
        <v>63</v>
      </c>
      <c r="E35" t="s">
        <v>52</v>
      </c>
      <c r="F35" t="s">
        <v>60</v>
      </c>
      <c r="G35" t="s">
        <v>28</v>
      </c>
      <c r="H35" t="s">
        <v>20</v>
      </c>
      <c r="I35">
        <v>2196</v>
      </c>
      <c r="J35">
        <v>1</v>
      </c>
      <c r="K35">
        <v>3.9</v>
      </c>
      <c r="L35">
        <v>4</v>
      </c>
      <c r="M35" t="s">
        <v>144</v>
      </c>
    </row>
    <row r="36" spans="1:13">
      <c r="A36" t="s">
        <v>145</v>
      </c>
      <c r="B36" t="s">
        <v>111</v>
      </c>
      <c r="C36" t="s">
        <v>146</v>
      </c>
      <c r="D36" t="s">
        <v>147</v>
      </c>
      <c r="E36" t="s">
        <v>52</v>
      </c>
      <c r="F36" t="s">
        <v>83</v>
      </c>
      <c r="G36" t="s">
        <v>28</v>
      </c>
      <c r="H36" t="s">
        <v>29</v>
      </c>
      <c r="I36">
        <v>6790</v>
      </c>
      <c r="J36">
        <v>7</v>
      </c>
      <c r="K36">
        <v>4.2</v>
      </c>
      <c r="L36">
        <v>2</v>
      </c>
      <c r="M36" t="s">
        <v>87</v>
      </c>
    </row>
    <row r="37" spans="1:13">
      <c r="A37" t="s">
        <v>148</v>
      </c>
      <c r="B37" t="s">
        <v>149</v>
      </c>
      <c r="C37" t="s">
        <v>112</v>
      </c>
      <c r="D37" t="s">
        <v>90</v>
      </c>
      <c r="E37" t="s">
        <v>42</v>
      </c>
      <c r="F37" t="s">
        <v>60</v>
      </c>
      <c r="G37" t="s">
        <v>19</v>
      </c>
      <c r="H37" t="s">
        <v>29</v>
      </c>
      <c r="I37">
        <v>22584</v>
      </c>
      <c r="J37">
        <v>8</v>
      </c>
      <c r="K37">
        <v>4.7</v>
      </c>
      <c r="L37">
        <v>5</v>
      </c>
      <c r="M37" t="s">
        <v>30</v>
      </c>
    </row>
    <row r="38" spans="1:13">
      <c r="A38" t="s">
        <v>150</v>
      </c>
      <c r="B38" t="s">
        <v>96</v>
      </c>
      <c r="C38" t="s">
        <v>50</v>
      </c>
      <c r="D38" t="s">
        <v>41</v>
      </c>
      <c r="E38" t="s">
        <v>42</v>
      </c>
      <c r="F38" t="s">
        <v>27</v>
      </c>
      <c r="G38" t="s">
        <v>19</v>
      </c>
      <c r="H38" t="s">
        <v>20</v>
      </c>
      <c r="I38">
        <v>20496</v>
      </c>
      <c r="J38">
        <v>4</v>
      </c>
      <c r="K38">
        <v>3.4</v>
      </c>
      <c r="L38">
        <v>4</v>
      </c>
      <c r="M38" t="s">
        <v>21</v>
      </c>
    </row>
    <row r="39" spans="1:13">
      <c r="A39" t="s">
        <v>151</v>
      </c>
      <c r="B39" t="s">
        <v>152</v>
      </c>
      <c r="C39" t="s">
        <v>58</v>
      </c>
      <c r="D39" t="s">
        <v>116</v>
      </c>
      <c r="E39" t="s">
        <v>17</v>
      </c>
      <c r="F39" t="s">
        <v>27</v>
      </c>
      <c r="G39" t="s">
        <v>54</v>
      </c>
      <c r="H39" t="s">
        <v>64</v>
      </c>
      <c r="I39">
        <v>8466</v>
      </c>
      <c r="J39">
        <v>6</v>
      </c>
      <c r="K39">
        <v>4.7</v>
      </c>
      <c r="L39">
        <v>7</v>
      </c>
      <c r="M39" t="s">
        <v>55</v>
      </c>
    </row>
    <row r="40" spans="1:13">
      <c r="A40" t="s">
        <v>153</v>
      </c>
      <c r="B40" t="s">
        <v>154</v>
      </c>
      <c r="C40" t="s">
        <v>122</v>
      </c>
      <c r="D40" t="s">
        <v>41</v>
      </c>
      <c r="E40" t="s">
        <v>42</v>
      </c>
      <c r="F40" t="s">
        <v>53</v>
      </c>
      <c r="G40" t="s">
        <v>28</v>
      </c>
      <c r="H40" t="s">
        <v>64</v>
      </c>
      <c r="I40">
        <v>25865</v>
      </c>
      <c r="J40">
        <v>5</v>
      </c>
      <c r="K40">
        <v>4.8</v>
      </c>
      <c r="L40">
        <v>8</v>
      </c>
      <c r="M40" t="s">
        <v>126</v>
      </c>
    </row>
    <row r="41" spans="1:13">
      <c r="A41" t="s">
        <v>155</v>
      </c>
      <c r="B41" t="s">
        <v>156</v>
      </c>
      <c r="C41" t="s">
        <v>58</v>
      </c>
      <c r="D41" t="s">
        <v>116</v>
      </c>
      <c r="E41" t="s">
        <v>17</v>
      </c>
      <c r="F41" t="s">
        <v>100</v>
      </c>
      <c r="G41" t="s">
        <v>54</v>
      </c>
      <c r="H41" t="s">
        <v>36</v>
      </c>
      <c r="I41">
        <v>12481</v>
      </c>
      <c r="J41">
        <v>7</v>
      </c>
      <c r="K41">
        <v>4.2</v>
      </c>
      <c r="L41">
        <v>7</v>
      </c>
      <c r="M41" t="s">
        <v>126</v>
      </c>
    </row>
    <row r="42" spans="1:13">
      <c r="A42" t="s">
        <v>157</v>
      </c>
      <c r="B42" t="s">
        <v>158</v>
      </c>
      <c r="C42" t="s">
        <v>50</v>
      </c>
      <c r="D42" t="s">
        <v>159</v>
      </c>
      <c r="E42" t="s">
        <v>42</v>
      </c>
      <c r="F42" t="s">
        <v>53</v>
      </c>
      <c r="G42" t="s">
        <v>28</v>
      </c>
      <c r="H42" t="s">
        <v>29</v>
      </c>
      <c r="I42">
        <v>10143</v>
      </c>
      <c r="J42">
        <v>3</v>
      </c>
      <c r="K42">
        <v>4</v>
      </c>
      <c r="L42">
        <v>6</v>
      </c>
      <c r="M42" t="s">
        <v>47</v>
      </c>
    </row>
    <row r="43" spans="1:13">
      <c r="A43" t="s">
        <v>160</v>
      </c>
      <c r="B43" t="s">
        <v>161</v>
      </c>
      <c r="C43" t="s">
        <v>15</v>
      </c>
      <c r="D43" t="s">
        <v>116</v>
      </c>
      <c r="E43" t="s">
        <v>17</v>
      </c>
      <c r="F43" t="s">
        <v>100</v>
      </c>
      <c r="G43" t="s">
        <v>19</v>
      </c>
      <c r="H43" t="s">
        <v>20</v>
      </c>
      <c r="I43">
        <v>1016</v>
      </c>
      <c r="J43">
        <v>1</v>
      </c>
      <c r="K43">
        <v>4.9000000000000004</v>
      </c>
      <c r="L43">
        <v>4</v>
      </c>
      <c r="M43" t="s">
        <v>144</v>
      </c>
    </row>
    <row r="44" spans="1:13">
      <c r="A44" t="s">
        <v>162</v>
      </c>
      <c r="B44" t="s">
        <v>163</v>
      </c>
      <c r="C44" t="s">
        <v>24</v>
      </c>
      <c r="D44" t="s">
        <v>51</v>
      </c>
      <c r="E44" t="s">
        <v>52</v>
      </c>
      <c r="F44" t="s">
        <v>53</v>
      </c>
      <c r="G44" t="s">
        <v>54</v>
      </c>
      <c r="H44" t="s">
        <v>36</v>
      </c>
      <c r="I44">
        <v>2284</v>
      </c>
      <c r="J44">
        <v>2</v>
      </c>
      <c r="K44">
        <v>3.5</v>
      </c>
      <c r="L44">
        <v>2</v>
      </c>
      <c r="M44" t="s">
        <v>119</v>
      </c>
    </row>
    <row r="45" spans="1:13">
      <c r="A45" t="s">
        <v>164</v>
      </c>
      <c r="B45" t="s">
        <v>139</v>
      </c>
      <c r="C45" t="s">
        <v>45</v>
      </c>
      <c r="D45" t="s">
        <v>165</v>
      </c>
      <c r="E45" t="s">
        <v>35</v>
      </c>
      <c r="F45" t="s">
        <v>18</v>
      </c>
      <c r="G45" t="s">
        <v>54</v>
      </c>
      <c r="H45" t="s">
        <v>29</v>
      </c>
      <c r="I45">
        <v>87227</v>
      </c>
      <c r="J45">
        <v>7</v>
      </c>
      <c r="K45">
        <v>3.6</v>
      </c>
      <c r="L45">
        <v>5</v>
      </c>
      <c r="M45" t="s">
        <v>119</v>
      </c>
    </row>
    <row r="46" spans="1:13">
      <c r="A46" t="s">
        <v>166</v>
      </c>
      <c r="B46" t="s">
        <v>167</v>
      </c>
      <c r="C46" t="s">
        <v>133</v>
      </c>
      <c r="D46" t="s">
        <v>69</v>
      </c>
      <c r="E46" t="s">
        <v>26</v>
      </c>
      <c r="F46" t="s">
        <v>53</v>
      </c>
      <c r="G46" t="s">
        <v>28</v>
      </c>
      <c r="H46" t="s">
        <v>20</v>
      </c>
      <c r="I46">
        <v>46092</v>
      </c>
      <c r="J46">
        <v>6</v>
      </c>
      <c r="K46">
        <v>4.7</v>
      </c>
      <c r="L46">
        <v>2</v>
      </c>
      <c r="M46" t="s">
        <v>119</v>
      </c>
    </row>
    <row r="47" spans="1:13">
      <c r="A47" t="s">
        <v>168</v>
      </c>
      <c r="B47" t="s">
        <v>169</v>
      </c>
      <c r="C47" t="s">
        <v>170</v>
      </c>
      <c r="D47" t="s">
        <v>159</v>
      </c>
      <c r="E47" t="s">
        <v>42</v>
      </c>
      <c r="F47" t="s">
        <v>83</v>
      </c>
      <c r="G47" t="s">
        <v>54</v>
      </c>
      <c r="H47" t="s">
        <v>29</v>
      </c>
      <c r="I47">
        <v>22540</v>
      </c>
      <c r="J47">
        <v>5</v>
      </c>
      <c r="K47">
        <v>4.7</v>
      </c>
      <c r="L47">
        <v>5</v>
      </c>
      <c r="M47" t="s">
        <v>65</v>
      </c>
    </row>
    <row r="48" spans="1:13">
      <c r="A48" t="s">
        <v>171</v>
      </c>
      <c r="B48" t="s">
        <v>172</v>
      </c>
      <c r="C48" t="s">
        <v>103</v>
      </c>
      <c r="D48" t="s">
        <v>159</v>
      </c>
      <c r="E48" t="s">
        <v>42</v>
      </c>
      <c r="F48" t="s">
        <v>53</v>
      </c>
      <c r="G48" t="s">
        <v>104</v>
      </c>
      <c r="H48" t="s">
        <v>29</v>
      </c>
      <c r="I48">
        <v>23534</v>
      </c>
      <c r="J48">
        <v>7</v>
      </c>
      <c r="K48">
        <v>4.0999999999999996</v>
      </c>
      <c r="L48">
        <v>6</v>
      </c>
      <c r="M48" t="s">
        <v>47</v>
      </c>
    </row>
    <row r="49" spans="1:13">
      <c r="A49" t="s">
        <v>173</v>
      </c>
      <c r="B49" t="s">
        <v>174</v>
      </c>
      <c r="C49" t="s">
        <v>125</v>
      </c>
      <c r="D49" t="s">
        <v>25</v>
      </c>
      <c r="E49" t="s">
        <v>26</v>
      </c>
      <c r="F49" t="s">
        <v>60</v>
      </c>
      <c r="G49" t="s">
        <v>54</v>
      </c>
      <c r="H49" t="s">
        <v>36</v>
      </c>
      <c r="I49">
        <v>39584</v>
      </c>
      <c r="J49">
        <v>4</v>
      </c>
      <c r="K49">
        <v>4.5999999999999996</v>
      </c>
      <c r="L49">
        <v>8</v>
      </c>
      <c r="M49" t="s">
        <v>65</v>
      </c>
    </row>
    <row r="50" spans="1:13">
      <c r="A50" t="s">
        <v>175</v>
      </c>
      <c r="B50" t="s">
        <v>176</v>
      </c>
      <c r="C50" t="s">
        <v>129</v>
      </c>
      <c r="D50" t="s">
        <v>34</v>
      </c>
      <c r="E50" t="s">
        <v>35</v>
      </c>
      <c r="F50" t="s">
        <v>27</v>
      </c>
      <c r="G50" t="s">
        <v>28</v>
      </c>
      <c r="H50" t="s">
        <v>29</v>
      </c>
      <c r="I50">
        <v>258124</v>
      </c>
      <c r="J50">
        <v>4</v>
      </c>
      <c r="K50">
        <v>3.8</v>
      </c>
      <c r="L50">
        <v>6</v>
      </c>
      <c r="M50" t="s">
        <v>55</v>
      </c>
    </row>
    <row r="51" spans="1:13">
      <c r="A51" t="s">
        <v>177</v>
      </c>
      <c r="B51" t="s">
        <v>178</v>
      </c>
      <c r="C51" t="s">
        <v>179</v>
      </c>
      <c r="D51" t="s">
        <v>130</v>
      </c>
      <c r="E51" t="s">
        <v>35</v>
      </c>
      <c r="F51" t="s">
        <v>83</v>
      </c>
      <c r="G51" t="s">
        <v>28</v>
      </c>
      <c r="H51" t="s">
        <v>29</v>
      </c>
      <c r="I51">
        <v>87718</v>
      </c>
      <c r="J51">
        <v>2</v>
      </c>
      <c r="K51">
        <v>4.9000000000000004</v>
      </c>
      <c r="L51">
        <v>3</v>
      </c>
      <c r="M51" t="s">
        <v>37</v>
      </c>
    </row>
    <row r="52" spans="1:13">
      <c r="A52" t="s">
        <v>180</v>
      </c>
      <c r="B52" t="s">
        <v>181</v>
      </c>
      <c r="C52" t="s">
        <v>103</v>
      </c>
      <c r="D52" t="s">
        <v>59</v>
      </c>
      <c r="E52" t="s">
        <v>26</v>
      </c>
      <c r="F52" t="s">
        <v>18</v>
      </c>
      <c r="G52" t="s">
        <v>54</v>
      </c>
      <c r="H52" t="s">
        <v>29</v>
      </c>
      <c r="I52">
        <v>23008</v>
      </c>
      <c r="J52">
        <v>4</v>
      </c>
      <c r="K52">
        <v>3.2</v>
      </c>
      <c r="L52">
        <v>3</v>
      </c>
      <c r="M52" t="s">
        <v>87</v>
      </c>
    </row>
    <row r="53" spans="1:13">
      <c r="A53" t="s">
        <v>182</v>
      </c>
      <c r="B53" t="s">
        <v>183</v>
      </c>
      <c r="C53" t="s">
        <v>103</v>
      </c>
      <c r="D53" t="s">
        <v>51</v>
      </c>
      <c r="E53" t="s">
        <v>52</v>
      </c>
      <c r="F53" t="s">
        <v>60</v>
      </c>
      <c r="G53" t="s">
        <v>54</v>
      </c>
      <c r="H53" t="s">
        <v>36</v>
      </c>
      <c r="I53">
        <v>1414</v>
      </c>
      <c r="J53">
        <v>1</v>
      </c>
      <c r="K53">
        <v>3.8</v>
      </c>
      <c r="L53">
        <v>1</v>
      </c>
      <c r="M53" t="s">
        <v>87</v>
      </c>
    </row>
    <row r="54" spans="1:13">
      <c r="A54" t="s">
        <v>184</v>
      </c>
      <c r="B54" t="s">
        <v>185</v>
      </c>
      <c r="C54" t="s">
        <v>78</v>
      </c>
      <c r="D54" t="s">
        <v>90</v>
      </c>
      <c r="E54" t="s">
        <v>42</v>
      </c>
      <c r="F54" t="s">
        <v>60</v>
      </c>
      <c r="G54" t="s">
        <v>19</v>
      </c>
      <c r="H54" t="s">
        <v>64</v>
      </c>
      <c r="I54">
        <v>3189</v>
      </c>
      <c r="J54">
        <v>1</v>
      </c>
      <c r="K54">
        <v>5</v>
      </c>
      <c r="L54">
        <v>2</v>
      </c>
      <c r="M54" t="s">
        <v>87</v>
      </c>
    </row>
    <row r="55" spans="1:13">
      <c r="A55" t="s">
        <v>186</v>
      </c>
      <c r="B55" t="s">
        <v>187</v>
      </c>
      <c r="C55" t="s">
        <v>75</v>
      </c>
      <c r="D55" t="s">
        <v>90</v>
      </c>
      <c r="E55" t="s">
        <v>42</v>
      </c>
      <c r="F55" t="s">
        <v>83</v>
      </c>
      <c r="G55" t="s">
        <v>19</v>
      </c>
      <c r="H55" t="s">
        <v>20</v>
      </c>
      <c r="I55">
        <v>10584</v>
      </c>
      <c r="J55">
        <v>7</v>
      </c>
      <c r="K55">
        <v>4.3</v>
      </c>
      <c r="L55">
        <v>5</v>
      </c>
      <c r="M55" t="s">
        <v>126</v>
      </c>
    </row>
    <row r="56" spans="1:13">
      <c r="A56" t="s">
        <v>188</v>
      </c>
      <c r="B56" t="s">
        <v>189</v>
      </c>
      <c r="C56" t="s">
        <v>40</v>
      </c>
      <c r="D56" t="s">
        <v>25</v>
      </c>
      <c r="E56" t="s">
        <v>26</v>
      </c>
      <c r="F56" t="s">
        <v>27</v>
      </c>
      <c r="G56" t="s">
        <v>28</v>
      </c>
      <c r="H56" t="s">
        <v>36</v>
      </c>
      <c r="I56">
        <v>5571</v>
      </c>
      <c r="J56">
        <v>1</v>
      </c>
      <c r="K56">
        <v>3.3</v>
      </c>
      <c r="L56">
        <v>5</v>
      </c>
      <c r="M56" t="s">
        <v>80</v>
      </c>
    </row>
    <row r="57" spans="1:13">
      <c r="A57" t="s">
        <v>190</v>
      </c>
      <c r="B57" t="s">
        <v>191</v>
      </c>
      <c r="C57" t="s">
        <v>72</v>
      </c>
      <c r="D57" t="s">
        <v>109</v>
      </c>
      <c r="E57" t="s">
        <v>52</v>
      </c>
      <c r="F57" t="s">
        <v>18</v>
      </c>
      <c r="G57" t="s">
        <v>54</v>
      </c>
      <c r="H57" t="s">
        <v>20</v>
      </c>
      <c r="I57">
        <v>2880</v>
      </c>
      <c r="J57">
        <v>4</v>
      </c>
      <c r="K57">
        <v>3.5</v>
      </c>
      <c r="L57">
        <v>5</v>
      </c>
      <c r="M57" t="s">
        <v>192</v>
      </c>
    </row>
    <row r="58" spans="1:13">
      <c r="A58" t="s">
        <v>193</v>
      </c>
      <c r="B58" t="s">
        <v>102</v>
      </c>
      <c r="C58" t="s">
        <v>146</v>
      </c>
      <c r="D58" t="s">
        <v>165</v>
      </c>
      <c r="E58" t="s">
        <v>35</v>
      </c>
      <c r="F58" t="s">
        <v>18</v>
      </c>
      <c r="G58" t="s">
        <v>54</v>
      </c>
      <c r="H58" t="s">
        <v>64</v>
      </c>
      <c r="I58">
        <v>319665</v>
      </c>
      <c r="J58">
        <v>5</v>
      </c>
      <c r="K58">
        <v>4.9000000000000004</v>
      </c>
      <c r="L58">
        <v>8</v>
      </c>
      <c r="M58" t="s">
        <v>30</v>
      </c>
    </row>
    <row r="59" spans="1:13">
      <c r="A59" t="s">
        <v>194</v>
      </c>
      <c r="B59" t="s">
        <v>195</v>
      </c>
      <c r="C59" t="s">
        <v>58</v>
      </c>
      <c r="D59" t="s">
        <v>165</v>
      </c>
      <c r="E59" t="s">
        <v>35</v>
      </c>
      <c r="F59" t="s">
        <v>18</v>
      </c>
      <c r="G59" t="s">
        <v>19</v>
      </c>
      <c r="H59" t="s">
        <v>64</v>
      </c>
      <c r="I59">
        <v>77892</v>
      </c>
      <c r="J59">
        <v>1</v>
      </c>
      <c r="K59">
        <v>5</v>
      </c>
      <c r="L59">
        <v>5</v>
      </c>
      <c r="M59" t="s">
        <v>21</v>
      </c>
    </row>
    <row r="60" spans="1:13">
      <c r="A60" t="s">
        <v>196</v>
      </c>
      <c r="B60" t="s">
        <v>197</v>
      </c>
      <c r="C60" t="s">
        <v>170</v>
      </c>
      <c r="D60" t="s">
        <v>69</v>
      </c>
      <c r="E60" t="s">
        <v>26</v>
      </c>
      <c r="F60" t="s">
        <v>27</v>
      </c>
      <c r="G60" t="s">
        <v>54</v>
      </c>
      <c r="H60" t="s">
        <v>20</v>
      </c>
      <c r="I60">
        <v>25500</v>
      </c>
      <c r="J60">
        <v>3</v>
      </c>
      <c r="K60">
        <v>3.8</v>
      </c>
      <c r="L60">
        <v>6</v>
      </c>
      <c r="M60" t="s">
        <v>21</v>
      </c>
    </row>
    <row r="61" spans="1:13">
      <c r="A61" t="s">
        <v>198</v>
      </c>
      <c r="B61" t="s">
        <v>199</v>
      </c>
      <c r="C61" t="s">
        <v>170</v>
      </c>
      <c r="D61" t="s">
        <v>97</v>
      </c>
      <c r="E61" t="s">
        <v>35</v>
      </c>
      <c r="F61" t="s">
        <v>18</v>
      </c>
      <c r="G61" t="s">
        <v>28</v>
      </c>
      <c r="H61" t="s">
        <v>36</v>
      </c>
      <c r="I61">
        <v>596816</v>
      </c>
      <c r="J61">
        <v>8</v>
      </c>
      <c r="K61">
        <v>3.4</v>
      </c>
      <c r="L61">
        <v>5</v>
      </c>
      <c r="M61" t="s">
        <v>119</v>
      </c>
    </row>
    <row r="62" spans="1:13">
      <c r="A62" t="s">
        <v>200</v>
      </c>
      <c r="B62" t="s">
        <v>201</v>
      </c>
      <c r="C62" t="s">
        <v>179</v>
      </c>
      <c r="D62" t="s">
        <v>69</v>
      </c>
      <c r="E62" t="s">
        <v>26</v>
      </c>
      <c r="F62" t="s">
        <v>53</v>
      </c>
      <c r="G62" t="s">
        <v>19</v>
      </c>
      <c r="H62" t="s">
        <v>29</v>
      </c>
      <c r="I62">
        <v>8967</v>
      </c>
      <c r="J62">
        <v>1</v>
      </c>
      <c r="K62">
        <v>4.3</v>
      </c>
      <c r="L62">
        <v>1</v>
      </c>
      <c r="M62" t="s">
        <v>55</v>
      </c>
    </row>
    <row r="63" spans="1:13">
      <c r="A63" t="s">
        <v>202</v>
      </c>
      <c r="B63" t="s">
        <v>203</v>
      </c>
      <c r="C63" t="s">
        <v>75</v>
      </c>
      <c r="D63" t="s">
        <v>90</v>
      </c>
      <c r="E63" t="s">
        <v>42</v>
      </c>
      <c r="F63" t="s">
        <v>83</v>
      </c>
      <c r="G63" t="s">
        <v>54</v>
      </c>
      <c r="H63" t="s">
        <v>64</v>
      </c>
      <c r="I63">
        <v>3245</v>
      </c>
      <c r="J63">
        <v>1</v>
      </c>
      <c r="K63">
        <v>3.2</v>
      </c>
      <c r="L63">
        <v>7</v>
      </c>
      <c r="M63" t="s">
        <v>80</v>
      </c>
    </row>
    <row r="64" spans="1:13">
      <c r="A64" t="s">
        <v>204</v>
      </c>
      <c r="B64" t="s">
        <v>205</v>
      </c>
      <c r="C64" t="s">
        <v>50</v>
      </c>
      <c r="D64" t="s">
        <v>86</v>
      </c>
      <c r="E64" t="s">
        <v>17</v>
      </c>
      <c r="F64" t="s">
        <v>83</v>
      </c>
      <c r="G64" t="s">
        <v>19</v>
      </c>
      <c r="H64" t="s">
        <v>36</v>
      </c>
      <c r="I64">
        <v>6710</v>
      </c>
      <c r="J64">
        <v>5</v>
      </c>
      <c r="K64">
        <v>3.6</v>
      </c>
      <c r="L64">
        <v>3</v>
      </c>
      <c r="M64" t="s">
        <v>65</v>
      </c>
    </row>
    <row r="65" spans="1:13">
      <c r="A65" t="s">
        <v>206</v>
      </c>
      <c r="B65" t="s">
        <v>207</v>
      </c>
      <c r="C65" t="s">
        <v>72</v>
      </c>
      <c r="D65" t="s">
        <v>97</v>
      </c>
      <c r="E65" t="s">
        <v>35</v>
      </c>
      <c r="F65" t="s">
        <v>60</v>
      </c>
      <c r="G65" t="s">
        <v>28</v>
      </c>
      <c r="H65" t="s">
        <v>29</v>
      </c>
      <c r="I65">
        <v>208160</v>
      </c>
      <c r="J65">
        <v>5</v>
      </c>
      <c r="K65">
        <v>5</v>
      </c>
      <c r="L65">
        <v>8</v>
      </c>
      <c r="M65" t="s">
        <v>126</v>
      </c>
    </row>
    <row r="66" spans="1:13">
      <c r="A66" t="s">
        <v>208</v>
      </c>
      <c r="B66" t="s">
        <v>209</v>
      </c>
      <c r="C66" t="s">
        <v>33</v>
      </c>
      <c r="D66" t="s">
        <v>165</v>
      </c>
      <c r="E66" t="s">
        <v>35</v>
      </c>
      <c r="F66" t="s">
        <v>53</v>
      </c>
      <c r="G66" t="s">
        <v>28</v>
      </c>
      <c r="H66" t="s">
        <v>64</v>
      </c>
      <c r="I66">
        <v>190589</v>
      </c>
      <c r="J66">
        <v>7</v>
      </c>
      <c r="K66">
        <v>3.9</v>
      </c>
      <c r="L66">
        <v>7</v>
      </c>
      <c r="M66" t="s">
        <v>30</v>
      </c>
    </row>
    <row r="67" spans="1:13">
      <c r="A67" t="s">
        <v>210</v>
      </c>
      <c r="B67" t="s">
        <v>211</v>
      </c>
      <c r="C67" t="s">
        <v>68</v>
      </c>
      <c r="D67" t="s">
        <v>159</v>
      </c>
      <c r="E67" t="s">
        <v>42</v>
      </c>
      <c r="F67" t="s">
        <v>100</v>
      </c>
      <c r="G67" t="s">
        <v>28</v>
      </c>
      <c r="H67" t="s">
        <v>36</v>
      </c>
      <c r="I67">
        <v>3419</v>
      </c>
      <c r="J67">
        <v>1</v>
      </c>
      <c r="K67">
        <v>4.8</v>
      </c>
      <c r="L67">
        <v>8</v>
      </c>
      <c r="M67" t="s">
        <v>65</v>
      </c>
    </row>
    <row r="68" spans="1:13">
      <c r="A68" t="s">
        <v>212</v>
      </c>
      <c r="B68" t="s">
        <v>213</v>
      </c>
      <c r="C68" t="s">
        <v>170</v>
      </c>
      <c r="D68" t="s">
        <v>51</v>
      </c>
      <c r="E68" t="s">
        <v>52</v>
      </c>
      <c r="F68" t="s">
        <v>27</v>
      </c>
      <c r="G68" t="s">
        <v>28</v>
      </c>
      <c r="H68" t="s">
        <v>29</v>
      </c>
      <c r="I68">
        <v>6519</v>
      </c>
      <c r="J68">
        <v>3</v>
      </c>
      <c r="K68">
        <v>4.4000000000000004</v>
      </c>
      <c r="L68">
        <v>2</v>
      </c>
      <c r="M68" t="s">
        <v>119</v>
      </c>
    </row>
    <row r="69" spans="1:13">
      <c r="A69" t="s">
        <v>214</v>
      </c>
      <c r="B69" t="s">
        <v>215</v>
      </c>
      <c r="C69" t="s">
        <v>146</v>
      </c>
      <c r="D69" t="s">
        <v>41</v>
      </c>
      <c r="E69" t="s">
        <v>42</v>
      </c>
      <c r="F69" t="s">
        <v>83</v>
      </c>
      <c r="G69" t="s">
        <v>104</v>
      </c>
      <c r="H69" t="s">
        <v>36</v>
      </c>
      <c r="I69">
        <v>2880</v>
      </c>
      <c r="J69">
        <v>2</v>
      </c>
      <c r="K69">
        <v>5</v>
      </c>
      <c r="L69">
        <v>2</v>
      </c>
      <c r="M69" t="s">
        <v>192</v>
      </c>
    </row>
    <row r="70" spans="1:13">
      <c r="A70" t="s">
        <v>216</v>
      </c>
      <c r="B70" t="s">
        <v>217</v>
      </c>
      <c r="C70" t="s">
        <v>24</v>
      </c>
      <c r="D70" t="s">
        <v>218</v>
      </c>
      <c r="E70" t="s">
        <v>17</v>
      </c>
      <c r="F70" t="s">
        <v>83</v>
      </c>
      <c r="G70" t="s">
        <v>54</v>
      </c>
      <c r="H70" t="s">
        <v>64</v>
      </c>
      <c r="I70">
        <v>5170</v>
      </c>
      <c r="J70">
        <v>5</v>
      </c>
      <c r="K70">
        <v>4.2</v>
      </c>
      <c r="L70">
        <v>3</v>
      </c>
      <c r="M70" t="s">
        <v>144</v>
      </c>
    </row>
    <row r="71" spans="1:13">
      <c r="A71" t="s">
        <v>219</v>
      </c>
      <c r="B71" t="s">
        <v>220</v>
      </c>
      <c r="C71" t="s">
        <v>40</v>
      </c>
      <c r="D71" t="s">
        <v>79</v>
      </c>
      <c r="E71" t="s">
        <v>26</v>
      </c>
      <c r="F71" t="s">
        <v>27</v>
      </c>
      <c r="G71" t="s">
        <v>19</v>
      </c>
      <c r="H71" t="s">
        <v>36</v>
      </c>
      <c r="I71">
        <v>14949</v>
      </c>
      <c r="J71">
        <v>3</v>
      </c>
      <c r="K71">
        <v>4.4000000000000004</v>
      </c>
      <c r="L71">
        <v>8</v>
      </c>
      <c r="M71" t="s">
        <v>65</v>
      </c>
    </row>
    <row r="72" spans="1:13">
      <c r="A72" t="s">
        <v>221</v>
      </c>
      <c r="B72" t="s">
        <v>222</v>
      </c>
      <c r="C72" t="s">
        <v>125</v>
      </c>
      <c r="D72" t="s">
        <v>46</v>
      </c>
      <c r="E72" t="s">
        <v>42</v>
      </c>
      <c r="F72" t="s">
        <v>18</v>
      </c>
      <c r="G72" t="s">
        <v>19</v>
      </c>
      <c r="H72" t="s">
        <v>64</v>
      </c>
      <c r="I72">
        <v>22210</v>
      </c>
      <c r="J72">
        <v>5</v>
      </c>
      <c r="K72">
        <v>3.6</v>
      </c>
      <c r="L72">
        <v>7</v>
      </c>
      <c r="M72" t="s">
        <v>30</v>
      </c>
    </row>
    <row r="73" spans="1:13">
      <c r="A73" t="s">
        <v>223</v>
      </c>
      <c r="B73" t="s">
        <v>224</v>
      </c>
      <c r="C73" t="s">
        <v>45</v>
      </c>
      <c r="D73" t="s">
        <v>59</v>
      </c>
      <c r="E73" t="s">
        <v>26</v>
      </c>
      <c r="F73" t="s">
        <v>27</v>
      </c>
      <c r="G73" t="s">
        <v>28</v>
      </c>
      <c r="H73" t="s">
        <v>29</v>
      </c>
      <c r="I73">
        <v>26485</v>
      </c>
      <c r="J73">
        <v>5</v>
      </c>
      <c r="K73">
        <v>3.2</v>
      </c>
      <c r="L73">
        <v>1</v>
      </c>
      <c r="M73" t="s">
        <v>30</v>
      </c>
    </row>
    <row r="74" spans="1:13">
      <c r="A74" t="s">
        <v>225</v>
      </c>
      <c r="B74" t="s">
        <v>226</v>
      </c>
      <c r="C74" t="s">
        <v>40</v>
      </c>
      <c r="D74" t="s">
        <v>109</v>
      </c>
      <c r="E74" t="s">
        <v>52</v>
      </c>
      <c r="F74" t="s">
        <v>60</v>
      </c>
      <c r="G74" t="s">
        <v>54</v>
      </c>
      <c r="H74" t="s">
        <v>29</v>
      </c>
      <c r="I74">
        <v>5104</v>
      </c>
      <c r="J74">
        <v>4</v>
      </c>
      <c r="K74">
        <v>4.8</v>
      </c>
      <c r="L74">
        <v>1</v>
      </c>
      <c r="M74" t="s">
        <v>37</v>
      </c>
    </row>
    <row r="75" spans="1:13">
      <c r="A75" t="s">
        <v>227</v>
      </c>
      <c r="B75" t="s">
        <v>228</v>
      </c>
      <c r="C75" t="s">
        <v>112</v>
      </c>
      <c r="D75" t="s">
        <v>147</v>
      </c>
      <c r="E75" t="s">
        <v>52</v>
      </c>
      <c r="F75" t="s">
        <v>100</v>
      </c>
      <c r="G75" t="s">
        <v>104</v>
      </c>
      <c r="H75" t="s">
        <v>20</v>
      </c>
      <c r="I75">
        <v>5814</v>
      </c>
      <c r="J75">
        <v>6</v>
      </c>
      <c r="K75">
        <v>4.8</v>
      </c>
      <c r="L75">
        <v>6</v>
      </c>
      <c r="M75" t="s">
        <v>126</v>
      </c>
    </row>
    <row r="76" spans="1:13">
      <c r="A76" t="s">
        <v>229</v>
      </c>
      <c r="B76" t="s">
        <v>228</v>
      </c>
      <c r="C76" t="s">
        <v>78</v>
      </c>
      <c r="D76" t="s">
        <v>97</v>
      </c>
      <c r="E76" t="s">
        <v>35</v>
      </c>
      <c r="F76" t="s">
        <v>53</v>
      </c>
      <c r="G76" t="s">
        <v>54</v>
      </c>
      <c r="H76" t="s">
        <v>64</v>
      </c>
      <c r="I76">
        <v>74214</v>
      </c>
      <c r="J76">
        <v>6</v>
      </c>
      <c r="K76">
        <v>4.7</v>
      </c>
      <c r="L76">
        <v>7</v>
      </c>
      <c r="M76" t="s">
        <v>126</v>
      </c>
    </row>
    <row r="77" spans="1:13">
      <c r="A77" t="s">
        <v>230</v>
      </c>
      <c r="B77" t="s">
        <v>231</v>
      </c>
      <c r="C77" t="s">
        <v>68</v>
      </c>
      <c r="D77" t="s">
        <v>218</v>
      </c>
      <c r="E77" t="s">
        <v>17</v>
      </c>
      <c r="F77" t="s">
        <v>27</v>
      </c>
      <c r="G77" t="s">
        <v>19</v>
      </c>
      <c r="H77" t="s">
        <v>64</v>
      </c>
      <c r="I77">
        <v>2462</v>
      </c>
      <c r="J77">
        <v>2</v>
      </c>
      <c r="K77">
        <v>4.7</v>
      </c>
      <c r="L77">
        <v>6</v>
      </c>
      <c r="M77" t="s">
        <v>30</v>
      </c>
    </row>
    <row r="78" spans="1:13">
      <c r="A78" t="s">
        <v>232</v>
      </c>
      <c r="B78" t="s">
        <v>233</v>
      </c>
      <c r="C78" t="s">
        <v>33</v>
      </c>
      <c r="D78" t="s">
        <v>218</v>
      </c>
      <c r="E78" t="s">
        <v>17</v>
      </c>
      <c r="F78" t="s">
        <v>18</v>
      </c>
      <c r="G78" t="s">
        <v>104</v>
      </c>
      <c r="H78" t="s">
        <v>64</v>
      </c>
      <c r="I78">
        <v>6504</v>
      </c>
      <c r="J78">
        <v>4</v>
      </c>
      <c r="K78">
        <v>3.9</v>
      </c>
      <c r="L78">
        <v>3</v>
      </c>
      <c r="M78" t="s">
        <v>192</v>
      </c>
    </row>
    <row r="79" spans="1:13">
      <c r="A79" t="s">
        <v>234</v>
      </c>
      <c r="B79" t="s">
        <v>235</v>
      </c>
      <c r="C79" t="s">
        <v>133</v>
      </c>
      <c r="D79" t="s">
        <v>16</v>
      </c>
      <c r="E79" t="s">
        <v>17</v>
      </c>
      <c r="F79" t="s">
        <v>27</v>
      </c>
      <c r="G79" t="s">
        <v>54</v>
      </c>
      <c r="H79" t="s">
        <v>64</v>
      </c>
      <c r="I79">
        <v>3285</v>
      </c>
      <c r="J79">
        <v>3</v>
      </c>
      <c r="K79">
        <v>4.3</v>
      </c>
      <c r="L79">
        <v>3</v>
      </c>
      <c r="M79" t="s">
        <v>21</v>
      </c>
    </row>
    <row r="80" spans="1:13">
      <c r="A80" t="s">
        <v>236</v>
      </c>
      <c r="B80" t="s">
        <v>237</v>
      </c>
      <c r="C80" t="s">
        <v>68</v>
      </c>
      <c r="D80" t="s">
        <v>69</v>
      </c>
      <c r="E80" t="s">
        <v>26</v>
      </c>
      <c r="F80" t="s">
        <v>27</v>
      </c>
      <c r="G80" t="s">
        <v>104</v>
      </c>
      <c r="H80" t="s">
        <v>29</v>
      </c>
      <c r="I80">
        <v>8085</v>
      </c>
      <c r="J80">
        <v>1</v>
      </c>
      <c r="K80">
        <v>4.9000000000000004</v>
      </c>
      <c r="L80">
        <v>6</v>
      </c>
      <c r="M80" t="s">
        <v>21</v>
      </c>
    </row>
    <row r="81" spans="1:13">
      <c r="A81" t="s">
        <v>238</v>
      </c>
      <c r="B81" t="s">
        <v>115</v>
      </c>
      <c r="C81" t="s">
        <v>33</v>
      </c>
      <c r="D81" t="s">
        <v>116</v>
      </c>
      <c r="E81" t="s">
        <v>17</v>
      </c>
      <c r="F81" t="s">
        <v>53</v>
      </c>
      <c r="G81" t="s">
        <v>19</v>
      </c>
      <c r="H81" t="s">
        <v>20</v>
      </c>
      <c r="I81">
        <v>2200</v>
      </c>
      <c r="J81">
        <v>4</v>
      </c>
      <c r="K81">
        <v>4.4000000000000004</v>
      </c>
      <c r="L81">
        <v>1</v>
      </c>
      <c r="M81" t="s">
        <v>21</v>
      </c>
    </row>
    <row r="82" spans="1:13">
      <c r="A82" t="s">
        <v>239</v>
      </c>
      <c r="B82" t="s">
        <v>108</v>
      </c>
      <c r="C82" t="s">
        <v>103</v>
      </c>
      <c r="D82" t="s">
        <v>79</v>
      </c>
      <c r="E82" t="s">
        <v>26</v>
      </c>
      <c r="F82" t="s">
        <v>83</v>
      </c>
      <c r="G82" t="s">
        <v>19</v>
      </c>
      <c r="H82" t="s">
        <v>29</v>
      </c>
      <c r="I82">
        <v>12868</v>
      </c>
      <c r="J82">
        <v>4</v>
      </c>
      <c r="K82">
        <v>4.5999999999999996</v>
      </c>
      <c r="L82">
        <v>1</v>
      </c>
      <c r="M82" t="s">
        <v>87</v>
      </c>
    </row>
    <row r="83" spans="1:13">
      <c r="A83" t="s">
        <v>240</v>
      </c>
      <c r="B83" t="s">
        <v>167</v>
      </c>
      <c r="C83" t="s">
        <v>103</v>
      </c>
      <c r="D83" t="s">
        <v>147</v>
      </c>
      <c r="E83" t="s">
        <v>52</v>
      </c>
      <c r="F83" t="s">
        <v>18</v>
      </c>
      <c r="G83" t="s">
        <v>19</v>
      </c>
      <c r="H83" t="s">
        <v>64</v>
      </c>
      <c r="I83">
        <v>310</v>
      </c>
      <c r="J83">
        <v>1</v>
      </c>
      <c r="K83">
        <v>3.8</v>
      </c>
      <c r="L83">
        <v>3</v>
      </c>
      <c r="M83" t="s">
        <v>119</v>
      </c>
    </row>
    <row r="84" spans="1:13">
      <c r="A84" t="s">
        <v>241</v>
      </c>
      <c r="B84" t="s">
        <v>242</v>
      </c>
      <c r="C84" t="s">
        <v>45</v>
      </c>
      <c r="D84" t="s">
        <v>25</v>
      </c>
      <c r="E84" t="s">
        <v>26</v>
      </c>
      <c r="F84" t="s">
        <v>18</v>
      </c>
      <c r="G84" t="s">
        <v>104</v>
      </c>
      <c r="H84" t="s">
        <v>64</v>
      </c>
      <c r="I84">
        <v>20688</v>
      </c>
      <c r="J84">
        <v>8</v>
      </c>
      <c r="K84">
        <v>4</v>
      </c>
      <c r="L84">
        <v>4</v>
      </c>
      <c r="M84" t="s">
        <v>87</v>
      </c>
    </row>
    <row r="85" spans="1:13">
      <c r="A85" t="s">
        <v>243</v>
      </c>
      <c r="B85" t="s">
        <v>244</v>
      </c>
      <c r="C85" t="s">
        <v>45</v>
      </c>
      <c r="D85" t="s">
        <v>16</v>
      </c>
      <c r="E85" t="s">
        <v>17</v>
      </c>
      <c r="F85" t="s">
        <v>83</v>
      </c>
      <c r="G85" t="s">
        <v>54</v>
      </c>
      <c r="H85" t="s">
        <v>20</v>
      </c>
      <c r="I85">
        <v>8211</v>
      </c>
      <c r="J85">
        <v>7</v>
      </c>
      <c r="K85">
        <v>4.8</v>
      </c>
      <c r="L85">
        <v>6</v>
      </c>
      <c r="M85" t="s">
        <v>65</v>
      </c>
    </row>
    <row r="86" spans="1:13">
      <c r="A86" t="s">
        <v>245</v>
      </c>
      <c r="B86" t="s">
        <v>246</v>
      </c>
      <c r="C86" t="s">
        <v>68</v>
      </c>
      <c r="D86" t="s">
        <v>165</v>
      </c>
      <c r="E86" t="s">
        <v>35</v>
      </c>
      <c r="F86" t="s">
        <v>27</v>
      </c>
      <c r="G86" t="s">
        <v>19</v>
      </c>
      <c r="H86" t="s">
        <v>64</v>
      </c>
      <c r="I86">
        <v>246912</v>
      </c>
      <c r="J86">
        <v>6</v>
      </c>
      <c r="K86">
        <v>4.3</v>
      </c>
      <c r="L86">
        <v>2</v>
      </c>
      <c r="M86" t="s">
        <v>192</v>
      </c>
    </row>
    <row r="87" spans="1:13">
      <c r="A87" t="s">
        <v>247</v>
      </c>
      <c r="B87" t="s">
        <v>201</v>
      </c>
      <c r="C87" t="s">
        <v>129</v>
      </c>
      <c r="D87" t="s">
        <v>159</v>
      </c>
      <c r="E87" t="s">
        <v>42</v>
      </c>
      <c r="F87" t="s">
        <v>83</v>
      </c>
      <c r="G87" t="s">
        <v>28</v>
      </c>
      <c r="H87" t="s">
        <v>36</v>
      </c>
      <c r="I87">
        <v>8868</v>
      </c>
      <c r="J87">
        <v>6</v>
      </c>
      <c r="K87">
        <v>4</v>
      </c>
      <c r="L87">
        <v>5</v>
      </c>
      <c r="M87" t="s">
        <v>55</v>
      </c>
    </row>
    <row r="88" spans="1:13">
      <c r="A88" t="s">
        <v>248</v>
      </c>
      <c r="B88" t="s">
        <v>94</v>
      </c>
      <c r="C88" t="s">
        <v>68</v>
      </c>
      <c r="D88" t="s">
        <v>16</v>
      </c>
      <c r="E88" t="s">
        <v>17</v>
      </c>
      <c r="F88" t="s">
        <v>60</v>
      </c>
      <c r="G88" t="s">
        <v>104</v>
      </c>
      <c r="H88" t="s">
        <v>64</v>
      </c>
      <c r="I88">
        <v>3479</v>
      </c>
      <c r="J88">
        <v>7</v>
      </c>
      <c r="K88">
        <v>4.3</v>
      </c>
      <c r="L88">
        <v>6</v>
      </c>
      <c r="M88" t="s">
        <v>87</v>
      </c>
    </row>
    <row r="89" spans="1:13">
      <c r="A89" t="s">
        <v>249</v>
      </c>
      <c r="B89" t="s">
        <v>250</v>
      </c>
      <c r="C89" t="s">
        <v>122</v>
      </c>
      <c r="D89" t="s">
        <v>218</v>
      </c>
      <c r="E89" t="s">
        <v>17</v>
      </c>
      <c r="F89" t="s">
        <v>18</v>
      </c>
      <c r="G89" t="s">
        <v>104</v>
      </c>
      <c r="H89" t="s">
        <v>29</v>
      </c>
      <c r="I89">
        <v>5100</v>
      </c>
      <c r="J89">
        <v>5</v>
      </c>
      <c r="K89">
        <v>3.5</v>
      </c>
      <c r="L89">
        <v>8</v>
      </c>
      <c r="M89" t="s">
        <v>192</v>
      </c>
    </row>
    <row r="90" spans="1:13">
      <c r="A90" t="s">
        <v>251</v>
      </c>
      <c r="B90" t="s">
        <v>252</v>
      </c>
      <c r="C90" t="s">
        <v>170</v>
      </c>
      <c r="D90" t="s">
        <v>218</v>
      </c>
      <c r="E90" t="s">
        <v>17</v>
      </c>
      <c r="F90" t="s">
        <v>53</v>
      </c>
      <c r="G90" t="s">
        <v>54</v>
      </c>
      <c r="H90" t="s">
        <v>20</v>
      </c>
      <c r="I90">
        <v>4712</v>
      </c>
      <c r="J90">
        <v>4</v>
      </c>
      <c r="K90">
        <v>3.5</v>
      </c>
      <c r="L90">
        <v>5</v>
      </c>
      <c r="M90" t="s">
        <v>30</v>
      </c>
    </row>
    <row r="91" spans="1:13">
      <c r="A91" t="s">
        <v>253</v>
      </c>
      <c r="B91" t="s">
        <v>108</v>
      </c>
      <c r="C91" t="s">
        <v>170</v>
      </c>
      <c r="D91" t="s">
        <v>51</v>
      </c>
      <c r="E91" t="s">
        <v>52</v>
      </c>
      <c r="F91" t="s">
        <v>83</v>
      </c>
      <c r="G91" t="s">
        <v>104</v>
      </c>
      <c r="H91" t="s">
        <v>29</v>
      </c>
      <c r="I91">
        <v>1125</v>
      </c>
      <c r="J91">
        <v>3</v>
      </c>
      <c r="K91">
        <v>3.9</v>
      </c>
      <c r="L91">
        <v>8</v>
      </c>
      <c r="M91" t="s">
        <v>87</v>
      </c>
    </row>
    <row r="92" spans="1:13">
      <c r="A92" t="s">
        <v>254</v>
      </c>
      <c r="B92" t="s">
        <v>255</v>
      </c>
      <c r="C92" t="s">
        <v>146</v>
      </c>
      <c r="D92" t="s">
        <v>165</v>
      </c>
      <c r="E92" t="s">
        <v>35</v>
      </c>
      <c r="F92" t="s">
        <v>27</v>
      </c>
      <c r="G92" t="s">
        <v>28</v>
      </c>
      <c r="H92" t="s">
        <v>64</v>
      </c>
      <c r="I92">
        <v>46264</v>
      </c>
      <c r="J92">
        <v>2</v>
      </c>
      <c r="K92">
        <v>4.4000000000000004</v>
      </c>
      <c r="L92">
        <v>5</v>
      </c>
      <c r="M92" t="s">
        <v>192</v>
      </c>
    </row>
    <row r="93" spans="1:13">
      <c r="A93" t="s">
        <v>256</v>
      </c>
      <c r="B93" t="s">
        <v>257</v>
      </c>
      <c r="C93" t="s">
        <v>112</v>
      </c>
      <c r="D93" t="s">
        <v>69</v>
      </c>
      <c r="E93" t="s">
        <v>26</v>
      </c>
      <c r="F93" t="s">
        <v>27</v>
      </c>
      <c r="G93" t="s">
        <v>104</v>
      </c>
      <c r="H93" t="s">
        <v>36</v>
      </c>
      <c r="I93">
        <v>39215</v>
      </c>
      <c r="J93">
        <v>5</v>
      </c>
      <c r="K93">
        <v>3.4</v>
      </c>
      <c r="L93">
        <v>8</v>
      </c>
      <c r="M93" t="s">
        <v>47</v>
      </c>
    </row>
    <row r="94" spans="1:13">
      <c r="A94" t="s">
        <v>258</v>
      </c>
      <c r="B94" t="s">
        <v>259</v>
      </c>
      <c r="C94" t="s">
        <v>170</v>
      </c>
      <c r="D94" t="s">
        <v>51</v>
      </c>
      <c r="E94" t="s">
        <v>52</v>
      </c>
      <c r="F94" t="s">
        <v>18</v>
      </c>
      <c r="G94" t="s">
        <v>54</v>
      </c>
      <c r="H94" t="s">
        <v>64</v>
      </c>
      <c r="I94">
        <v>1087</v>
      </c>
      <c r="J94">
        <v>1</v>
      </c>
      <c r="K94">
        <v>4.5999999999999996</v>
      </c>
      <c r="L94">
        <v>5</v>
      </c>
      <c r="M94" t="s">
        <v>192</v>
      </c>
    </row>
    <row r="95" spans="1:13">
      <c r="A95" t="s">
        <v>260</v>
      </c>
      <c r="B95" t="s">
        <v>261</v>
      </c>
      <c r="C95" t="s">
        <v>50</v>
      </c>
      <c r="D95" t="s">
        <v>159</v>
      </c>
      <c r="E95" t="s">
        <v>42</v>
      </c>
      <c r="F95" t="s">
        <v>27</v>
      </c>
      <c r="G95" t="s">
        <v>54</v>
      </c>
      <c r="H95" t="s">
        <v>64</v>
      </c>
      <c r="I95">
        <v>36939</v>
      </c>
      <c r="J95">
        <v>7</v>
      </c>
      <c r="K95">
        <v>4.7</v>
      </c>
      <c r="L95">
        <v>2</v>
      </c>
      <c r="M95" t="s">
        <v>80</v>
      </c>
    </row>
    <row r="96" spans="1:13">
      <c r="A96" t="s">
        <v>262</v>
      </c>
      <c r="B96" t="s">
        <v>263</v>
      </c>
      <c r="C96" t="s">
        <v>50</v>
      </c>
      <c r="D96" t="s">
        <v>116</v>
      </c>
      <c r="E96" t="s">
        <v>17</v>
      </c>
      <c r="F96" t="s">
        <v>18</v>
      </c>
      <c r="G96" t="s">
        <v>104</v>
      </c>
      <c r="H96" t="s">
        <v>20</v>
      </c>
      <c r="I96">
        <v>8874</v>
      </c>
      <c r="J96">
        <v>6</v>
      </c>
      <c r="K96">
        <v>4</v>
      </c>
      <c r="L96">
        <v>2</v>
      </c>
      <c r="M96" t="s">
        <v>87</v>
      </c>
    </row>
    <row r="97" spans="1:13">
      <c r="A97" t="s">
        <v>264</v>
      </c>
      <c r="B97" t="s">
        <v>118</v>
      </c>
      <c r="C97" t="s">
        <v>50</v>
      </c>
      <c r="D97" t="s">
        <v>69</v>
      </c>
      <c r="E97" t="s">
        <v>26</v>
      </c>
      <c r="F97" t="s">
        <v>53</v>
      </c>
      <c r="G97" t="s">
        <v>104</v>
      </c>
      <c r="H97" t="s">
        <v>20</v>
      </c>
      <c r="I97">
        <v>47628</v>
      </c>
      <c r="J97">
        <v>6</v>
      </c>
      <c r="K97">
        <v>4.3</v>
      </c>
      <c r="L97">
        <v>2</v>
      </c>
      <c r="M97" t="s">
        <v>119</v>
      </c>
    </row>
    <row r="98" spans="1:13">
      <c r="A98" t="s">
        <v>265</v>
      </c>
      <c r="B98" t="s">
        <v>263</v>
      </c>
      <c r="C98" t="s">
        <v>122</v>
      </c>
      <c r="D98" t="s">
        <v>34</v>
      </c>
      <c r="E98" t="s">
        <v>35</v>
      </c>
      <c r="F98" t="s">
        <v>18</v>
      </c>
      <c r="G98" t="s">
        <v>19</v>
      </c>
      <c r="H98" t="s">
        <v>29</v>
      </c>
      <c r="I98">
        <v>55830</v>
      </c>
      <c r="J98">
        <v>2</v>
      </c>
      <c r="K98">
        <v>4.5</v>
      </c>
      <c r="L98">
        <v>3</v>
      </c>
      <c r="M98" t="s">
        <v>87</v>
      </c>
    </row>
    <row r="99" spans="1:13">
      <c r="A99" t="s">
        <v>266</v>
      </c>
      <c r="B99" t="s">
        <v>267</v>
      </c>
      <c r="C99" t="s">
        <v>58</v>
      </c>
      <c r="D99" t="s">
        <v>63</v>
      </c>
      <c r="E99" t="s">
        <v>52</v>
      </c>
      <c r="F99" t="s">
        <v>27</v>
      </c>
      <c r="G99" t="s">
        <v>104</v>
      </c>
      <c r="H99" t="s">
        <v>29</v>
      </c>
      <c r="I99">
        <v>1674</v>
      </c>
      <c r="J99">
        <v>3</v>
      </c>
      <c r="K99">
        <v>4</v>
      </c>
      <c r="L99">
        <v>8</v>
      </c>
      <c r="M99" t="s">
        <v>192</v>
      </c>
    </row>
    <row r="100" spans="1:13">
      <c r="A100" t="s">
        <v>268</v>
      </c>
      <c r="B100" t="s">
        <v>85</v>
      </c>
      <c r="C100" t="s">
        <v>40</v>
      </c>
      <c r="D100" t="s">
        <v>51</v>
      </c>
      <c r="E100" t="s">
        <v>52</v>
      </c>
      <c r="F100" t="s">
        <v>60</v>
      </c>
      <c r="G100" t="s">
        <v>28</v>
      </c>
      <c r="H100" t="s">
        <v>36</v>
      </c>
      <c r="I100">
        <v>11920</v>
      </c>
      <c r="J100">
        <v>8</v>
      </c>
      <c r="K100">
        <v>3.8</v>
      </c>
      <c r="L100">
        <v>2</v>
      </c>
      <c r="M100" t="s">
        <v>87</v>
      </c>
    </row>
    <row r="101" spans="1:13">
      <c r="A101" t="s">
        <v>269</v>
      </c>
      <c r="B101" t="s">
        <v>96</v>
      </c>
      <c r="C101" t="s">
        <v>146</v>
      </c>
      <c r="D101" t="s">
        <v>218</v>
      </c>
      <c r="E101" t="s">
        <v>17</v>
      </c>
      <c r="F101" t="s">
        <v>100</v>
      </c>
      <c r="G101" t="s">
        <v>19</v>
      </c>
      <c r="H101" t="s">
        <v>29</v>
      </c>
      <c r="I101">
        <v>3240</v>
      </c>
      <c r="J101">
        <v>2</v>
      </c>
      <c r="K101">
        <v>3.9</v>
      </c>
      <c r="L101">
        <v>1</v>
      </c>
      <c r="M101" t="s">
        <v>21</v>
      </c>
    </row>
    <row r="102" spans="1:13">
      <c r="A102" t="s">
        <v>270</v>
      </c>
      <c r="B102" t="s">
        <v>271</v>
      </c>
      <c r="C102" t="s">
        <v>33</v>
      </c>
      <c r="D102" t="s">
        <v>69</v>
      </c>
      <c r="E102" t="s">
        <v>26</v>
      </c>
      <c r="F102" t="s">
        <v>83</v>
      </c>
      <c r="G102" t="s">
        <v>28</v>
      </c>
      <c r="H102" t="s">
        <v>64</v>
      </c>
      <c r="I102">
        <v>6543</v>
      </c>
      <c r="J102">
        <v>3</v>
      </c>
      <c r="K102">
        <v>4.0999999999999996</v>
      </c>
      <c r="L102">
        <v>3</v>
      </c>
      <c r="M102" t="s">
        <v>65</v>
      </c>
    </row>
    <row r="103" spans="1:13">
      <c r="A103" t="s">
        <v>272</v>
      </c>
      <c r="B103" t="s">
        <v>273</v>
      </c>
      <c r="C103" t="s">
        <v>75</v>
      </c>
      <c r="D103" t="s">
        <v>79</v>
      </c>
      <c r="E103" t="s">
        <v>26</v>
      </c>
      <c r="F103" t="s">
        <v>53</v>
      </c>
      <c r="G103" t="s">
        <v>54</v>
      </c>
      <c r="H103" t="s">
        <v>64</v>
      </c>
      <c r="I103">
        <v>71538</v>
      </c>
      <c r="J103">
        <v>6</v>
      </c>
      <c r="K103">
        <v>4.3</v>
      </c>
      <c r="L103">
        <v>6</v>
      </c>
      <c r="M103" t="s">
        <v>55</v>
      </c>
    </row>
    <row r="104" spans="1:13">
      <c r="A104" t="s">
        <v>274</v>
      </c>
      <c r="B104" t="s">
        <v>275</v>
      </c>
      <c r="C104" t="s">
        <v>72</v>
      </c>
      <c r="D104" t="s">
        <v>130</v>
      </c>
      <c r="E104" t="s">
        <v>35</v>
      </c>
      <c r="F104" t="s">
        <v>100</v>
      </c>
      <c r="G104" t="s">
        <v>54</v>
      </c>
      <c r="H104" t="s">
        <v>29</v>
      </c>
      <c r="I104">
        <v>236640</v>
      </c>
      <c r="J104">
        <v>3</v>
      </c>
      <c r="K104">
        <v>3.8</v>
      </c>
      <c r="L104">
        <v>7</v>
      </c>
      <c r="M104" t="s">
        <v>119</v>
      </c>
    </row>
    <row r="105" spans="1:13">
      <c r="A105" t="s">
        <v>276</v>
      </c>
      <c r="B105" t="s">
        <v>277</v>
      </c>
      <c r="C105" t="s">
        <v>15</v>
      </c>
      <c r="D105" t="s">
        <v>69</v>
      </c>
      <c r="E105" t="s">
        <v>26</v>
      </c>
      <c r="F105" t="s">
        <v>53</v>
      </c>
      <c r="G105" t="s">
        <v>104</v>
      </c>
      <c r="H105" t="s">
        <v>20</v>
      </c>
      <c r="I105">
        <v>70704</v>
      </c>
      <c r="J105">
        <v>6</v>
      </c>
      <c r="K105">
        <v>4</v>
      </c>
      <c r="L105">
        <v>6</v>
      </c>
      <c r="M105" t="s">
        <v>192</v>
      </c>
    </row>
    <row r="106" spans="1:13">
      <c r="A106" t="s">
        <v>278</v>
      </c>
      <c r="B106" t="s">
        <v>279</v>
      </c>
      <c r="C106" t="s">
        <v>112</v>
      </c>
      <c r="D106" t="s">
        <v>109</v>
      </c>
      <c r="E106" t="s">
        <v>52</v>
      </c>
      <c r="F106" t="s">
        <v>100</v>
      </c>
      <c r="G106" t="s">
        <v>54</v>
      </c>
      <c r="H106" t="s">
        <v>29</v>
      </c>
      <c r="I106">
        <v>3252</v>
      </c>
      <c r="J106">
        <v>4</v>
      </c>
      <c r="K106">
        <v>4.7</v>
      </c>
      <c r="L106">
        <v>2</v>
      </c>
      <c r="M106" t="s">
        <v>65</v>
      </c>
    </row>
    <row r="107" spans="1:13">
      <c r="A107" t="s">
        <v>280</v>
      </c>
      <c r="B107" t="s">
        <v>255</v>
      </c>
      <c r="C107" t="s">
        <v>133</v>
      </c>
      <c r="D107" t="s">
        <v>79</v>
      </c>
      <c r="E107" t="s">
        <v>26</v>
      </c>
      <c r="F107" t="s">
        <v>53</v>
      </c>
      <c r="G107" t="s">
        <v>19</v>
      </c>
      <c r="H107" t="s">
        <v>64</v>
      </c>
      <c r="I107">
        <v>24584</v>
      </c>
      <c r="J107">
        <v>7</v>
      </c>
      <c r="K107">
        <v>4.5</v>
      </c>
      <c r="L107">
        <v>1</v>
      </c>
      <c r="M107" t="s">
        <v>192</v>
      </c>
    </row>
    <row r="108" spans="1:13">
      <c r="A108" t="s">
        <v>281</v>
      </c>
      <c r="B108" t="s">
        <v>282</v>
      </c>
      <c r="C108" t="s">
        <v>146</v>
      </c>
      <c r="D108" t="s">
        <v>59</v>
      </c>
      <c r="E108" t="s">
        <v>26</v>
      </c>
      <c r="F108" t="s">
        <v>53</v>
      </c>
      <c r="G108" t="s">
        <v>28</v>
      </c>
      <c r="H108" t="s">
        <v>64</v>
      </c>
      <c r="I108">
        <v>15912</v>
      </c>
      <c r="J108">
        <v>4</v>
      </c>
      <c r="K108">
        <v>3.9</v>
      </c>
      <c r="L108">
        <v>8</v>
      </c>
      <c r="M108" t="s">
        <v>47</v>
      </c>
    </row>
    <row r="109" spans="1:13">
      <c r="A109" t="s">
        <v>283</v>
      </c>
      <c r="B109" t="s">
        <v>284</v>
      </c>
      <c r="C109" t="s">
        <v>40</v>
      </c>
      <c r="D109" t="s">
        <v>63</v>
      </c>
      <c r="E109" t="s">
        <v>52</v>
      </c>
      <c r="F109" t="s">
        <v>18</v>
      </c>
      <c r="G109" t="s">
        <v>19</v>
      </c>
      <c r="H109" t="s">
        <v>29</v>
      </c>
      <c r="I109">
        <v>1389</v>
      </c>
      <c r="J109">
        <v>3</v>
      </c>
      <c r="K109">
        <v>4.9000000000000004</v>
      </c>
      <c r="L109">
        <v>2</v>
      </c>
      <c r="M109" t="s">
        <v>192</v>
      </c>
    </row>
    <row r="110" spans="1:13">
      <c r="A110" t="s">
        <v>285</v>
      </c>
      <c r="B110" t="s">
        <v>286</v>
      </c>
      <c r="C110" t="s">
        <v>122</v>
      </c>
      <c r="D110" t="s">
        <v>159</v>
      </c>
      <c r="E110" t="s">
        <v>42</v>
      </c>
      <c r="F110" t="s">
        <v>60</v>
      </c>
      <c r="G110" t="s">
        <v>54</v>
      </c>
      <c r="H110" t="s">
        <v>29</v>
      </c>
      <c r="I110">
        <v>1836</v>
      </c>
      <c r="J110">
        <v>2</v>
      </c>
      <c r="K110">
        <v>3.3</v>
      </c>
      <c r="L110">
        <v>6</v>
      </c>
      <c r="M110" t="s">
        <v>47</v>
      </c>
    </row>
    <row r="111" spans="1:13">
      <c r="A111" t="s">
        <v>287</v>
      </c>
      <c r="B111" t="s">
        <v>288</v>
      </c>
      <c r="C111" t="s">
        <v>72</v>
      </c>
      <c r="D111" t="s">
        <v>147</v>
      </c>
      <c r="E111" t="s">
        <v>52</v>
      </c>
      <c r="F111" t="s">
        <v>27</v>
      </c>
      <c r="G111" t="s">
        <v>28</v>
      </c>
      <c r="H111" t="s">
        <v>64</v>
      </c>
      <c r="I111">
        <v>3246</v>
      </c>
      <c r="J111">
        <v>2</v>
      </c>
      <c r="K111">
        <v>3.7</v>
      </c>
      <c r="L111">
        <v>8</v>
      </c>
      <c r="M111" t="s">
        <v>126</v>
      </c>
    </row>
    <row r="112" spans="1:13">
      <c r="A112" t="s">
        <v>289</v>
      </c>
      <c r="B112" t="s">
        <v>290</v>
      </c>
      <c r="C112" t="s">
        <v>40</v>
      </c>
      <c r="D112" t="s">
        <v>25</v>
      </c>
      <c r="E112" t="s">
        <v>26</v>
      </c>
      <c r="F112" t="s">
        <v>83</v>
      </c>
      <c r="G112" t="s">
        <v>104</v>
      </c>
      <c r="H112" t="s">
        <v>36</v>
      </c>
      <c r="I112">
        <v>10775</v>
      </c>
      <c r="J112">
        <v>1</v>
      </c>
      <c r="K112">
        <v>4.0999999999999996</v>
      </c>
      <c r="L112">
        <v>2</v>
      </c>
      <c r="M112" t="s">
        <v>87</v>
      </c>
    </row>
    <row r="113" spans="1:13">
      <c r="A113" t="s">
        <v>291</v>
      </c>
      <c r="B113" t="s">
        <v>292</v>
      </c>
      <c r="C113" t="s">
        <v>72</v>
      </c>
      <c r="D113" t="s">
        <v>86</v>
      </c>
      <c r="E113" t="s">
        <v>17</v>
      </c>
      <c r="F113" t="s">
        <v>53</v>
      </c>
      <c r="G113" t="s">
        <v>28</v>
      </c>
      <c r="H113" t="s">
        <v>36</v>
      </c>
      <c r="I113">
        <v>3424</v>
      </c>
      <c r="J113">
        <v>8</v>
      </c>
      <c r="K113">
        <v>3.2</v>
      </c>
      <c r="L113">
        <v>4</v>
      </c>
      <c r="M113" t="s">
        <v>47</v>
      </c>
    </row>
    <row r="114" spans="1:13">
      <c r="A114" t="s">
        <v>293</v>
      </c>
      <c r="B114" t="s">
        <v>294</v>
      </c>
      <c r="C114" t="s">
        <v>50</v>
      </c>
      <c r="D114" t="s">
        <v>59</v>
      </c>
      <c r="E114" t="s">
        <v>26</v>
      </c>
      <c r="F114" t="s">
        <v>60</v>
      </c>
      <c r="G114" t="s">
        <v>54</v>
      </c>
      <c r="H114" t="s">
        <v>64</v>
      </c>
      <c r="I114">
        <v>13356</v>
      </c>
      <c r="J114">
        <v>7</v>
      </c>
      <c r="K114">
        <v>4.9000000000000004</v>
      </c>
      <c r="L114">
        <v>1</v>
      </c>
      <c r="M114" t="s">
        <v>21</v>
      </c>
    </row>
    <row r="115" spans="1:13">
      <c r="A115" t="s">
        <v>295</v>
      </c>
      <c r="B115" t="s">
        <v>296</v>
      </c>
      <c r="C115" t="s">
        <v>72</v>
      </c>
      <c r="D115" t="s">
        <v>130</v>
      </c>
      <c r="E115" t="s">
        <v>35</v>
      </c>
      <c r="F115" t="s">
        <v>18</v>
      </c>
      <c r="G115" t="s">
        <v>104</v>
      </c>
      <c r="H115" t="s">
        <v>29</v>
      </c>
      <c r="I115">
        <v>204624</v>
      </c>
      <c r="J115">
        <v>6</v>
      </c>
      <c r="K115">
        <v>4.5999999999999996</v>
      </c>
      <c r="L115">
        <v>6</v>
      </c>
      <c r="M115" t="s">
        <v>144</v>
      </c>
    </row>
    <row r="116" spans="1:13">
      <c r="A116" t="s">
        <v>297</v>
      </c>
      <c r="B116" t="s">
        <v>298</v>
      </c>
      <c r="C116" t="s">
        <v>33</v>
      </c>
      <c r="D116" t="s">
        <v>51</v>
      </c>
      <c r="E116" t="s">
        <v>52</v>
      </c>
      <c r="F116" t="s">
        <v>83</v>
      </c>
      <c r="G116" t="s">
        <v>54</v>
      </c>
      <c r="H116" t="s">
        <v>29</v>
      </c>
      <c r="I116">
        <v>7968</v>
      </c>
      <c r="J116">
        <v>8</v>
      </c>
      <c r="K116">
        <v>3.3</v>
      </c>
      <c r="L116">
        <v>4</v>
      </c>
      <c r="M116" t="s">
        <v>119</v>
      </c>
    </row>
    <row r="117" spans="1:13">
      <c r="A117" t="s">
        <v>299</v>
      </c>
      <c r="B117" t="s">
        <v>300</v>
      </c>
      <c r="C117" t="s">
        <v>170</v>
      </c>
      <c r="D117" t="s">
        <v>165</v>
      </c>
      <c r="E117" t="s">
        <v>35</v>
      </c>
      <c r="F117" t="s">
        <v>53</v>
      </c>
      <c r="G117" t="s">
        <v>54</v>
      </c>
      <c r="H117" t="s">
        <v>29</v>
      </c>
      <c r="I117">
        <v>220384</v>
      </c>
      <c r="J117">
        <v>8</v>
      </c>
      <c r="K117">
        <v>4.8</v>
      </c>
      <c r="L117">
        <v>1</v>
      </c>
      <c r="M117" t="s">
        <v>55</v>
      </c>
    </row>
    <row r="118" spans="1:13">
      <c r="A118" t="s">
        <v>301</v>
      </c>
      <c r="B118" t="s">
        <v>302</v>
      </c>
      <c r="C118" t="s">
        <v>75</v>
      </c>
      <c r="D118" t="s">
        <v>90</v>
      </c>
      <c r="E118" t="s">
        <v>42</v>
      </c>
      <c r="F118" t="s">
        <v>27</v>
      </c>
      <c r="G118" t="s">
        <v>28</v>
      </c>
      <c r="H118" t="s">
        <v>36</v>
      </c>
      <c r="I118">
        <v>33425</v>
      </c>
      <c r="J118">
        <v>7</v>
      </c>
      <c r="K118">
        <v>4.9000000000000004</v>
      </c>
      <c r="L118">
        <v>5</v>
      </c>
      <c r="M118" t="s">
        <v>47</v>
      </c>
    </row>
    <row r="119" spans="1:13">
      <c r="A119" t="s">
        <v>303</v>
      </c>
      <c r="B119" t="s">
        <v>304</v>
      </c>
      <c r="C119" t="s">
        <v>45</v>
      </c>
      <c r="D119" t="s">
        <v>159</v>
      </c>
      <c r="E119" t="s">
        <v>42</v>
      </c>
      <c r="F119" t="s">
        <v>27</v>
      </c>
      <c r="G119" t="s">
        <v>28</v>
      </c>
      <c r="H119" t="s">
        <v>20</v>
      </c>
      <c r="I119">
        <v>16930</v>
      </c>
      <c r="J119">
        <v>5</v>
      </c>
      <c r="K119">
        <v>3.7</v>
      </c>
      <c r="L119">
        <v>8</v>
      </c>
      <c r="M119" t="s">
        <v>30</v>
      </c>
    </row>
    <row r="120" spans="1:13">
      <c r="A120" t="s">
        <v>305</v>
      </c>
      <c r="B120" t="s">
        <v>306</v>
      </c>
      <c r="C120" t="s">
        <v>75</v>
      </c>
      <c r="D120" t="s">
        <v>46</v>
      </c>
      <c r="E120" t="s">
        <v>42</v>
      </c>
      <c r="F120" t="s">
        <v>27</v>
      </c>
      <c r="G120" t="s">
        <v>28</v>
      </c>
      <c r="H120" t="s">
        <v>29</v>
      </c>
      <c r="I120">
        <v>4263</v>
      </c>
      <c r="J120">
        <v>1</v>
      </c>
      <c r="K120">
        <v>4.4000000000000004</v>
      </c>
      <c r="L120">
        <v>1</v>
      </c>
      <c r="M120" t="s">
        <v>47</v>
      </c>
    </row>
    <row r="121" spans="1:13">
      <c r="A121" t="s">
        <v>307</v>
      </c>
      <c r="B121" t="s">
        <v>308</v>
      </c>
      <c r="C121" t="s">
        <v>129</v>
      </c>
      <c r="D121" t="s">
        <v>79</v>
      </c>
      <c r="E121" t="s">
        <v>26</v>
      </c>
      <c r="F121" t="s">
        <v>60</v>
      </c>
      <c r="G121" t="s">
        <v>54</v>
      </c>
      <c r="H121" t="s">
        <v>20</v>
      </c>
      <c r="I121">
        <v>5703</v>
      </c>
      <c r="J121">
        <v>3</v>
      </c>
      <c r="K121">
        <v>3.6</v>
      </c>
      <c r="L121">
        <v>6</v>
      </c>
      <c r="M121" t="s">
        <v>144</v>
      </c>
    </row>
    <row r="122" spans="1:13">
      <c r="A122" t="s">
        <v>309</v>
      </c>
      <c r="B122" t="s">
        <v>310</v>
      </c>
      <c r="C122" t="s">
        <v>122</v>
      </c>
      <c r="D122" t="s">
        <v>46</v>
      </c>
      <c r="E122" t="s">
        <v>42</v>
      </c>
      <c r="F122" t="s">
        <v>18</v>
      </c>
      <c r="G122" t="s">
        <v>54</v>
      </c>
      <c r="H122" t="s">
        <v>20</v>
      </c>
      <c r="I122">
        <v>29648</v>
      </c>
      <c r="J122">
        <v>8</v>
      </c>
      <c r="K122">
        <v>3.8</v>
      </c>
      <c r="L122">
        <v>5</v>
      </c>
      <c r="M122" t="s">
        <v>55</v>
      </c>
    </row>
    <row r="123" spans="1:13">
      <c r="A123" t="s">
        <v>311</v>
      </c>
      <c r="B123" t="s">
        <v>23</v>
      </c>
      <c r="C123" t="s">
        <v>179</v>
      </c>
      <c r="D123" t="s">
        <v>90</v>
      </c>
      <c r="E123" t="s">
        <v>42</v>
      </c>
      <c r="F123" t="s">
        <v>18</v>
      </c>
      <c r="G123" t="s">
        <v>19</v>
      </c>
      <c r="H123" t="s">
        <v>36</v>
      </c>
      <c r="I123">
        <v>4914</v>
      </c>
      <c r="J123">
        <v>2</v>
      </c>
      <c r="K123">
        <v>3.7</v>
      </c>
      <c r="L123">
        <v>8</v>
      </c>
      <c r="M123" t="s">
        <v>30</v>
      </c>
    </row>
    <row r="124" spans="1:13">
      <c r="A124" t="s">
        <v>312</v>
      </c>
      <c r="B124" t="s">
        <v>313</v>
      </c>
      <c r="C124" t="s">
        <v>24</v>
      </c>
      <c r="D124" t="s">
        <v>159</v>
      </c>
      <c r="E124" t="s">
        <v>42</v>
      </c>
      <c r="F124" t="s">
        <v>27</v>
      </c>
      <c r="G124" t="s">
        <v>19</v>
      </c>
      <c r="H124" t="s">
        <v>29</v>
      </c>
      <c r="I124">
        <v>2462</v>
      </c>
      <c r="J124">
        <v>2</v>
      </c>
      <c r="K124">
        <v>4.2</v>
      </c>
      <c r="L124">
        <v>5</v>
      </c>
      <c r="M124" t="s">
        <v>47</v>
      </c>
    </row>
    <row r="125" spans="1:13">
      <c r="A125" t="s">
        <v>314</v>
      </c>
      <c r="B125" t="s">
        <v>203</v>
      </c>
      <c r="C125" t="s">
        <v>146</v>
      </c>
      <c r="D125" t="s">
        <v>79</v>
      </c>
      <c r="E125" t="s">
        <v>26</v>
      </c>
      <c r="F125" t="s">
        <v>100</v>
      </c>
      <c r="G125" t="s">
        <v>19</v>
      </c>
      <c r="H125" t="s">
        <v>36</v>
      </c>
      <c r="I125">
        <v>26848</v>
      </c>
      <c r="J125">
        <v>4</v>
      </c>
      <c r="K125">
        <v>4.2</v>
      </c>
      <c r="L125">
        <v>6</v>
      </c>
      <c r="M125" t="s">
        <v>80</v>
      </c>
    </row>
    <row r="126" spans="1:13">
      <c r="A126" t="s">
        <v>315</v>
      </c>
      <c r="B126" t="s">
        <v>300</v>
      </c>
      <c r="C126" t="s">
        <v>75</v>
      </c>
      <c r="D126" t="s">
        <v>218</v>
      </c>
      <c r="E126" t="s">
        <v>17</v>
      </c>
      <c r="F126" t="s">
        <v>60</v>
      </c>
      <c r="G126" t="s">
        <v>28</v>
      </c>
      <c r="H126" t="s">
        <v>29</v>
      </c>
      <c r="I126">
        <v>11008</v>
      </c>
      <c r="J126">
        <v>8</v>
      </c>
      <c r="K126">
        <v>3.4</v>
      </c>
      <c r="L126">
        <v>6</v>
      </c>
      <c r="M126" t="s">
        <v>55</v>
      </c>
    </row>
    <row r="127" spans="1:13">
      <c r="A127" t="s">
        <v>316</v>
      </c>
      <c r="B127" t="s">
        <v>261</v>
      </c>
      <c r="C127" t="s">
        <v>170</v>
      </c>
      <c r="D127" t="s">
        <v>63</v>
      </c>
      <c r="E127" t="s">
        <v>52</v>
      </c>
      <c r="F127" t="s">
        <v>27</v>
      </c>
      <c r="G127" t="s">
        <v>19</v>
      </c>
      <c r="H127" t="s">
        <v>29</v>
      </c>
      <c r="I127">
        <v>3332</v>
      </c>
      <c r="J127">
        <v>7</v>
      </c>
      <c r="K127">
        <v>3.7</v>
      </c>
      <c r="L127">
        <v>3</v>
      </c>
      <c r="M127" t="s">
        <v>80</v>
      </c>
    </row>
    <row r="128" spans="1:13">
      <c r="A128" t="s">
        <v>317</v>
      </c>
      <c r="B128" t="s">
        <v>290</v>
      </c>
      <c r="C128" t="s">
        <v>112</v>
      </c>
      <c r="D128" t="s">
        <v>59</v>
      </c>
      <c r="E128" t="s">
        <v>26</v>
      </c>
      <c r="F128" t="s">
        <v>27</v>
      </c>
      <c r="G128" t="s">
        <v>19</v>
      </c>
      <c r="H128" t="s">
        <v>20</v>
      </c>
      <c r="I128">
        <v>28805</v>
      </c>
      <c r="J128">
        <v>5</v>
      </c>
      <c r="K128">
        <v>4.3</v>
      </c>
      <c r="L128">
        <v>2</v>
      </c>
      <c r="M128" t="s">
        <v>87</v>
      </c>
    </row>
    <row r="129" spans="1:13">
      <c r="A129" t="s">
        <v>318</v>
      </c>
      <c r="B129" t="s">
        <v>319</v>
      </c>
      <c r="C129" t="s">
        <v>58</v>
      </c>
      <c r="D129" t="s">
        <v>109</v>
      </c>
      <c r="E129" t="s">
        <v>52</v>
      </c>
      <c r="F129" t="s">
        <v>60</v>
      </c>
      <c r="G129" t="s">
        <v>54</v>
      </c>
      <c r="H129" t="s">
        <v>64</v>
      </c>
      <c r="I129">
        <v>582</v>
      </c>
      <c r="J129">
        <v>1</v>
      </c>
      <c r="K129">
        <v>3.7</v>
      </c>
      <c r="L129">
        <v>4</v>
      </c>
      <c r="M129" t="s">
        <v>30</v>
      </c>
    </row>
    <row r="130" spans="1:13">
      <c r="A130" t="s">
        <v>320</v>
      </c>
      <c r="B130" t="s">
        <v>321</v>
      </c>
      <c r="C130" t="s">
        <v>24</v>
      </c>
      <c r="D130" t="s">
        <v>59</v>
      </c>
      <c r="E130" t="s">
        <v>26</v>
      </c>
      <c r="F130" t="s">
        <v>60</v>
      </c>
      <c r="G130" t="s">
        <v>28</v>
      </c>
      <c r="H130" t="s">
        <v>64</v>
      </c>
      <c r="I130">
        <v>41150</v>
      </c>
      <c r="J130">
        <v>5</v>
      </c>
      <c r="K130">
        <v>3.3</v>
      </c>
      <c r="L130">
        <v>1</v>
      </c>
      <c r="M130" t="s">
        <v>192</v>
      </c>
    </row>
    <row r="131" spans="1:13">
      <c r="A131" t="s">
        <v>322</v>
      </c>
      <c r="B131" t="s">
        <v>207</v>
      </c>
      <c r="C131" t="s">
        <v>170</v>
      </c>
      <c r="D131" t="s">
        <v>159</v>
      </c>
      <c r="E131" t="s">
        <v>42</v>
      </c>
      <c r="F131" t="s">
        <v>83</v>
      </c>
      <c r="G131" t="s">
        <v>28</v>
      </c>
      <c r="H131" t="s">
        <v>36</v>
      </c>
      <c r="I131">
        <v>11898</v>
      </c>
      <c r="J131">
        <v>3</v>
      </c>
      <c r="K131">
        <v>4.5999999999999996</v>
      </c>
      <c r="L131">
        <v>2</v>
      </c>
      <c r="M131" t="s">
        <v>126</v>
      </c>
    </row>
    <row r="132" spans="1:13">
      <c r="A132" t="s">
        <v>323</v>
      </c>
      <c r="B132" t="s">
        <v>324</v>
      </c>
      <c r="C132" t="s">
        <v>170</v>
      </c>
      <c r="D132" t="s">
        <v>97</v>
      </c>
      <c r="E132" t="s">
        <v>35</v>
      </c>
      <c r="F132" t="s">
        <v>100</v>
      </c>
      <c r="G132" t="s">
        <v>104</v>
      </c>
      <c r="H132" t="s">
        <v>20</v>
      </c>
      <c r="I132">
        <v>121614</v>
      </c>
      <c r="J132">
        <v>3</v>
      </c>
      <c r="K132">
        <v>4</v>
      </c>
      <c r="L132">
        <v>3</v>
      </c>
      <c r="M132" t="s">
        <v>21</v>
      </c>
    </row>
    <row r="133" spans="1:13">
      <c r="A133" t="s">
        <v>325</v>
      </c>
      <c r="B133" t="s">
        <v>326</v>
      </c>
      <c r="C133" t="s">
        <v>122</v>
      </c>
      <c r="D133" t="s">
        <v>51</v>
      </c>
      <c r="E133" t="s">
        <v>52</v>
      </c>
      <c r="F133" t="s">
        <v>83</v>
      </c>
      <c r="G133" t="s">
        <v>104</v>
      </c>
      <c r="H133" t="s">
        <v>36</v>
      </c>
      <c r="I133">
        <v>12104</v>
      </c>
      <c r="J133">
        <v>8</v>
      </c>
      <c r="K133">
        <v>4.9000000000000004</v>
      </c>
      <c r="L133">
        <v>8</v>
      </c>
      <c r="M133" t="s">
        <v>65</v>
      </c>
    </row>
    <row r="134" spans="1:13">
      <c r="A134" t="s">
        <v>327</v>
      </c>
      <c r="B134" t="s">
        <v>211</v>
      </c>
      <c r="C134" t="s">
        <v>129</v>
      </c>
      <c r="D134" t="s">
        <v>218</v>
      </c>
      <c r="E134" t="s">
        <v>17</v>
      </c>
      <c r="F134" t="s">
        <v>60</v>
      </c>
      <c r="G134" t="s">
        <v>104</v>
      </c>
      <c r="H134" t="s">
        <v>36</v>
      </c>
      <c r="I134">
        <v>7080</v>
      </c>
      <c r="J134">
        <v>8</v>
      </c>
      <c r="K134">
        <v>3.4</v>
      </c>
      <c r="L134">
        <v>5</v>
      </c>
      <c r="M134" t="s">
        <v>65</v>
      </c>
    </row>
    <row r="135" spans="1:13">
      <c r="A135" t="s">
        <v>328</v>
      </c>
      <c r="B135" t="s">
        <v>102</v>
      </c>
      <c r="C135" t="s">
        <v>45</v>
      </c>
      <c r="D135" t="s">
        <v>41</v>
      </c>
      <c r="E135" t="s">
        <v>42</v>
      </c>
      <c r="F135" t="s">
        <v>27</v>
      </c>
      <c r="G135" t="s">
        <v>54</v>
      </c>
      <c r="H135" t="s">
        <v>20</v>
      </c>
      <c r="I135">
        <v>15456</v>
      </c>
      <c r="J135">
        <v>4</v>
      </c>
      <c r="K135">
        <v>4</v>
      </c>
      <c r="L135">
        <v>5</v>
      </c>
      <c r="M135" t="s">
        <v>30</v>
      </c>
    </row>
    <row r="136" spans="1:13">
      <c r="A136" t="s">
        <v>329</v>
      </c>
      <c r="B136" t="s">
        <v>330</v>
      </c>
      <c r="C136" t="s">
        <v>33</v>
      </c>
      <c r="D136" t="s">
        <v>116</v>
      </c>
      <c r="E136" t="s">
        <v>17</v>
      </c>
      <c r="F136" t="s">
        <v>18</v>
      </c>
      <c r="G136" t="s">
        <v>19</v>
      </c>
      <c r="H136" t="s">
        <v>29</v>
      </c>
      <c r="I136">
        <v>8652</v>
      </c>
      <c r="J136">
        <v>6</v>
      </c>
      <c r="K136">
        <v>4.0999999999999996</v>
      </c>
      <c r="L136">
        <v>1</v>
      </c>
      <c r="M136" t="s">
        <v>55</v>
      </c>
    </row>
    <row r="137" spans="1:13">
      <c r="A137" t="s">
        <v>331</v>
      </c>
      <c r="B137" t="s">
        <v>332</v>
      </c>
      <c r="C137" t="s">
        <v>58</v>
      </c>
      <c r="D137" t="s">
        <v>90</v>
      </c>
      <c r="E137" t="s">
        <v>42</v>
      </c>
      <c r="F137" t="s">
        <v>53</v>
      </c>
      <c r="G137" t="s">
        <v>28</v>
      </c>
      <c r="H137" t="s">
        <v>29</v>
      </c>
      <c r="I137">
        <v>11757</v>
      </c>
      <c r="J137">
        <v>3</v>
      </c>
      <c r="K137">
        <v>4.5</v>
      </c>
      <c r="L137">
        <v>5</v>
      </c>
      <c r="M137" t="s">
        <v>80</v>
      </c>
    </row>
    <row r="138" spans="1:13">
      <c r="A138" t="s">
        <v>333</v>
      </c>
      <c r="B138" t="s">
        <v>334</v>
      </c>
      <c r="C138" t="s">
        <v>45</v>
      </c>
      <c r="D138" t="s">
        <v>41</v>
      </c>
      <c r="E138" t="s">
        <v>42</v>
      </c>
      <c r="F138" t="s">
        <v>60</v>
      </c>
      <c r="G138" t="s">
        <v>104</v>
      </c>
      <c r="H138" t="s">
        <v>20</v>
      </c>
      <c r="I138">
        <v>32886</v>
      </c>
      <c r="J138">
        <v>6</v>
      </c>
      <c r="K138">
        <v>4.5999999999999996</v>
      </c>
      <c r="L138">
        <v>1</v>
      </c>
      <c r="M138" t="s">
        <v>55</v>
      </c>
    </row>
    <row r="139" spans="1:13">
      <c r="A139" t="s">
        <v>335</v>
      </c>
      <c r="B139" t="s">
        <v>336</v>
      </c>
      <c r="C139" t="s">
        <v>170</v>
      </c>
      <c r="D139" t="s">
        <v>116</v>
      </c>
      <c r="E139" t="s">
        <v>17</v>
      </c>
      <c r="F139" t="s">
        <v>60</v>
      </c>
      <c r="G139" t="s">
        <v>19</v>
      </c>
      <c r="H139" t="s">
        <v>64</v>
      </c>
      <c r="I139">
        <v>4214</v>
      </c>
      <c r="J139">
        <v>7</v>
      </c>
      <c r="K139">
        <v>3.5</v>
      </c>
      <c r="L139">
        <v>8</v>
      </c>
      <c r="M139" t="s">
        <v>80</v>
      </c>
    </row>
    <row r="140" spans="1:13">
      <c r="A140" t="s">
        <v>337</v>
      </c>
      <c r="B140" t="s">
        <v>271</v>
      </c>
      <c r="C140" t="s">
        <v>112</v>
      </c>
      <c r="D140" t="s">
        <v>51</v>
      </c>
      <c r="E140" t="s">
        <v>52</v>
      </c>
      <c r="F140" t="s">
        <v>60</v>
      </c>
      <c r="G140" t="s">
        <v>104</v>
      </c>
      <c r="H140" t="s">
        <v>20</v>
      </c>
      <c r="I140">
        <v>4040</v>
      </c>
      <c r="J140">
        <v>8</v>
      </c>
      <c r="K140">
        <v>4.2</v>
      </c>
      <c r="L140">
        <v>8</v>
      </c>
      <c r="M140" t="s">
        <v>65</v>
      </c>
    </row>
    <row r="141" spans="1:13">
      <c r="A141" t="s">
        <v>338</v>
      </c>
      <c r="B141" t="s">
        <v>304</v>
      </c>
      <c r="C141" t="s">
        <v>78</v>
      </c>
      <c r="D141" t="s">
        <v>46</v>
      </c>
      <c r="E141" t="s">
        <v>42</v>
      </c>
      <c r="F141" t="s">
        <v>53</v>
      </c>
      <c r="G141" t="s">
        <v>19</v>
      </c>
      <c r="H141" t="s">
        <v>29</v>
      </c>
      <c r="I141">
        <v>27996</v>
      </c>
      <c r="J141">
        <v>6</v>
      </c>
      <c r="K141">
        <v>4.9000000000000004</v>
      </c>
      <c r="L141">
        <v>5</v>
      </c>
      <c r="M141" t="s">
        <v>30</v>
      </c>
    </row>
    <row r="142" spans="1:13">
      <c r="A142" t="s">
        <v>339</v>
      </c>
      <c r="B142" t="s">
        <v>118</v>
      </c>
      <c r="C142" t="s">
        <v>50</v>
      </c>
      <c r="D142" t="s">
        <v>34</v>
      </c>
      <c r="E142" t="s">
        <v>35</v>
      </c>
      <c r="F142" t="s">
        <v>53</v>
      </c>
      <c r="G142" t="s">
        <v>19</v>
      </c>
      <c r="H142" t="s">
        <v>29</v>
      </c>
      <c r="I142">
        <v>385744</v>
      </c>
      <c r="J142">
        <v>8</v>
      </c>
      <c r="K142">
        <v>3.7</v>
      </c>
      <c r="L142">
        <v>7</v>
      </c>
      <c r="M142" t="s">
        <v>119</v>
      </c>
    </row>
    <row r="143" spans="1:13">
      <c r="A143" t="s">
        <v>340</v>
      </c>
      <c r="B143" t="s">
        <v>290</v>
      </c>
      <c r="C143" t="s">
        <v>78</v>
      </c>
      <c r="D143" t="s">
        <v>218</v>
      </c>
      <c r="E143" t="s">
        <v>17</v>
      </c>
      <c r="F143" t="s">
        <v>27</v>
      </c>
      <c r="G143" t="s">
        <v>104</v>
      </c>
      <c r="H143" t="s">
        <v>20</v>
      </c>
      <c r="I143">
        <v>7230</v>
      </c>
      <c r="J143">
        <v>6</v>
      </c>
      <c r="K143">
        <v>4.7</v>
      </c>
      <c r="L143">
        <v>5</v>
      </c>
      <c r="M143" t="s">
        <v>87</v>
      </c>
    </row>
    <row r="144" spans="1:13">
      <c r="A144" t="s">
        <v>341</v>
      </c>
      <c r="B144" t="s">
        <v>342</v>
      </c>
      <c r="C144" t="s">
        <v>170</v>
      </c>
      <c r="D144" t="s">
        <v>86</v>
      </c>
      <c r="E144" t="s">
        <v>17</v>
      </c>
      <c r="F144" t="s">
        <v>27</v>
      </c>
      <c r="G144" t="s">
        <v>28</v>
      </c>
      <c r="H144" t="s">
        <v>36</v>
      </c>
      <c r="I144">
        <v>1671</v>
      </c>
      <c r="J144">
        <v>1</v>
      </c>
      <c r="K144">
        <v>3.3</v>
      </c>
      <c r="L144">
        <v>7</v>
      </c>
      <c r="M144" t="s">
        <v>21</v>
      </c>
    </row>
    <row r="145" spans="1:13">
      <c r="A145" t="s">
        <v>343</v>
      </c>
      <c r="B145" t="s">
        <v>344</v>
      </c>
      <c r="C145" t="s">
        <v>75</v>
      </c>
      <c r="D145" t="s">
        <v>147</v>
      </c>
      <c r="E145" t="s">
        <v>52</v>
      </c>
      <c r="F145" t="s">
        <v>27</v>
      </c>
      <c r="G145" t="s">
        <v>19</v>
      </c>
      <c r="H145" t="s">
        <v>36</v>
      </c>
      <c r="I145">
        <v>6594</v>
      </c>
      <c r="J145">
        <v>3</v>
      </c>
      <c r="K145">
        <v>3.8</v>
      </c>
      <c r="L145">
        <v>1</v>
      </c>
      <c r="M145" t="s">
        <v>30</v>
      </c>
    </row>
    <row r="146" spans="1:13">
      <c r="A146" t="s">
        <v>345</v>
      </c>
      <c r="B146" t="s">
        <v>346</v>
      </c>
      <c r="C146" t="s">
        <v>170</v>
      </c>
      <c r="D146" t="s">
        <v>51</v>
      </c>
      <c r="E146" t="s">
        <v>52</v>
      </c>
      <c r="F146" t="s">
        <v>53</v>
      </c>
      <c r="G146" t="s">
        <v>28</v>
      </c>
      <c r="H146" t="s">
        <v>64</v>
      </c>
      <c r="I146">
        <v>2279</v>
      </c>
      <c r="J146">
        <v>1</v>
      </c>
      <c r="K146">
        <v>3.2</v>
      </c>
      <c r="L146">
        <v>2</v>
      </c>
      <c r="M146" t="s">
        <v>37</v>
      </c>
    </row>
    <row r="147" spans="1:13">
      <c r="A147" t="s">
        <v>347</v>
      </c>
      <c r="B147" t="s">
        <v>348</v>
      </c>
      <c r="C147" t="s">
        <v>15</v>
      </c>
      <c r="D147" t="s">
        <v>51</v>
      </c>
      <c r="E147" t="s">
        <v>52</v>
      </c>
      <c r="F147" t="s">
        <v>27</v>
      </c>
      <c r="G147" t="s">
        <v>104</v>
      </c>
      <c r="H147" t="s">
        <v>29</v>
      </c>
      <c r="I147">
        <v>6416</v>
      </c>
      <c r="J147">
        <v>4</v>
      </c>
      <c r="K147">
        <v>3.7</v>
      </c>
      <c r="L147">
        <v>3</v>
      </c>
      <c r="M147" t="s">
        <v>21</v>
      </c>
    </row>
    <row r="148" spans="1:13">
      <c r="A148" t="s">
        <v>349</v>
      </c>
      <c r="B148" t="s">
        <v>350</v>
      </c>
      <c r="C148" t="s">
        <v>72</v>
      </c>
      <c r="D148" t="s">
        <v>79</v>
      </c>
      <c r="E148" t="s">
        <v>26</v>
      </c>
      <c r="F148" t="s">
        <v>60</v>
      </c>
      <c r="G148" t="s">
        <v>104</v>
      </c>
      <c r="H148" t="s">
        <v>20</v>
      </c>
      <c r="I148">
        <v>51569</v>
      </c>
      <c r="J148">
        <v>7</v>
      </c>
      <c r="K148">
        <v>4.4000000000000004</v>
      </c>
      <c r="L148">
        <v>3</v>
      </c>
      <c r="M148" t="s">
        <v>80</v>
      </c>
    </row>
    <row r="149" spans="1:13">
      <c r="A149" t="s">
        <v>351</v>
      </c>
      <c r="B149" t="s">
        <v>352</v>
      </c>
      <c r="C149" t="s">
        <v>103</v>
      </c>
      <c r="D149" t="s">
        <v>218</v>
      </c>
      <c r="E149" t="s">
        <v>17</v>
      </c>
      <c r="F149" t="s">
        <v>27</v>
      </c>
      <c r="G149" t="s">
        <v>104</v>
      </c>
      <c r="H149" t="s">
        <v>20</v>
      </c>
      <c r="I149">
        <v>4856</v>
      </c>
      <c r="J149">
        <v>4</v>
      </c>
      <c r="K149">
        <v>4.5</v>
      </c>
      <c r="L149">
        <v>1</v>
      </c>
      <c r="M149" t="s">
        <v>55</v>
      </c>
    </row>
    <row r="150" spans="1:13">
      <c r="A150" t="s">
        <v>353</v>
      </c>
      <c r="B150" t="s">
        <v>354</v>
      </c>
      <c r="C150" t="s">
        <v>129</v>
      </c>
      <c r="D150" t="s">
        <v>16</v>
      </c>
      <c r="E150" t="s">
        <v>17</v>
      </c>
      <c r="F150" t="s">
        <v>100</v>
      </c>
      <c r="G150" t="s">
        <v>19</v>
      </c>
      <c r="H150" t="s">
        <v>20</v>
      </c>
      <c r="I150">
        <v>3135</v>
      </c>
      <c r="J150">
        <v>5</v>
      </c>
      <c r="K150">
        <v>4.3</v>
      </c>
      <c r="L150">
        <v>5</v>
      </c>
      <c r="M150" t="s">
        <v>47</v>
      </c>
    </row>
    <row r="151" spans="1:13">
      <c r="A151" t="s">
        <v>355</v>
      </c>
      <c r="B151" t="s">
        <v>356</v>
      </c>
      <c r="C151" t="s">
        <v>122</v>
      </c>
      <c r="D151" t="s">
        <v>51</v>
      </c>
      <c r="E151" t="s">
        <v>52</v>
      </c>
      <c r="F151" t="s">
        <v>27</v>
      </c>
      <c r="G151" t="s">
        <v>54</v>
      </c>
      <c r="H151" t="s">
        <v>64</v>
      </c>
      <c r="I151">
        <v>14240</v>
      </c>
      <c r="J151">
        <v>8</v>
      </c>
      <c r="K151">
        <v>4.5999999999999996</v>
      </c>
      <c r="L151">
        <v>4</v>
      </c>
      <c r="M151" t="s">
        <v>80</v>
      </c>
    </row>
    <row r="152" spans="1:13">
      <c r="A152" t="s">
        <v>357</v>
      </c>
      <c r="B152" t="s">
        <v>263</v>
      </c>
      <c r="C152" t="s">
        <v>170</v>
      </c>
      <c r="D152" t="s">
        <v>59</v>
      </c>
      <c r="E152" t="s">
        <v>26</v>
      </c>
      <c r="F152" t="s">
        <v>100</v>
      </c>
      <c r="G152" t="s">
        <v>28</v>
      </c>
      <c r="H152" t="s">
        <v>36</v>
      </c>
      <c r="I152">
        <v>20366</v>
      </c>
      <c r="J152">
        <v>2</v>
      </c>
      <c r="K152">
        <v>4.2</v>
      </c>
      <c r="L152">
        <v>3</v>
      </c>
      <c r="M152" t="s">
        <v>87</v>
      </c>
    </row>
    <row r="153" spans="1:13">
      <c r="A153" t="s">
        <v>358</v>
      </c>
      <c r="B153" t="s">
        <v>359</v>
      </c>
      <c r="C153" t="s">
        <v>78</v>
      </c>
      <c r="D153" t="s">
        <v>51</v>
      </c>
      <c r="E153" t="s">
        <v>52</v>
      </c>
      <c r="F153" t="s">
        <v>60</v>
      </c>
      <c r="G153" t="s">
        <v>104</v>
      </c>
      <c r="H153" t="s">
        <v>36</v>
      </c>
      <c r="I153">
        <v>16856</v>
      </c>
      <c r="J153">
        <v>8</v>
      </c>
      <c r="K153">
        <v>4</v>
      </c>
      <c r="L153">
        <v>1</v>
      </c>
      <c r="M153" t="s">
        <v>87</v>
      </c>
    </row>
    <row r="154" spans="1:13">
      <c r="A154" t="s">
        <v>360</v>
      </c>
      <c r="B154" t="s">
        <v>361</v>
      </c>
      <c r="C154" t="s">
        <v>75</v>
      </c>
      <c r="D154" t="s">
        <v>46</v>
      </c>
      <c r="E154" t="s">
        <v>42</v>
      </c>
      <c r="F154" t="s">
        <v>60</v>
      </c>
      <c r="G154" t="s">
        <v>54</v>
      </c>
      <c r="H154" t="s">
        <v>29</v>
      </c>
      <c r="I154">
        <v>16680</v>
      </c>
      <c r="J154">
        <v>4</v>
      </c>
      <c r="K154">
        <v>4.5</v>
      </c>
      <c r="L154">
        <v>1</v>
      </c>
      <c r="M154" t="s">
        <v>144</v>
      </c>
    </row>
    <row r="155" spans="1:13">
      <c r="A155" t="s">
        <v>362</v>
      </c>
      <c r="B155" t="s">
        <v>363</v>
      </c>
      <c r="C155" t="s">
        <v>129</v>
      </c>
      <c r="D155" t="s">
        <v>159</v>
      </c>
      <c r="E155" t="s">
        <v>42</v>
      </c>
      <c r="F155" t="s">
        <v>18</v>
      </c>
      <c r="G155" t="s">
        <v>19</v>
      </c>
      <c r="H155" t="s">
        <v>64</v>
      </c>
      <c r="I155">
        <v>26544</v>
      </c>
      <c r="J155">
        <v>7</v>
      </c>
      <c r="K155">
        <v>3.3</v>
      </c>
      <c r="L155">
        <v>3</v>
      </c>
      <c r="M155" t="s">
        <v>80</v>
      </c>
    </row>
    <row r="156" spans="1:13">
      <c r="A156" t="s">
        <v>364</v>
      </c>
      <c r="B156" t="s">
        <v>365</v>
      </c>
      <c r="C156" t="s">
        <v>122</v>
      </c>
      <c r="D156" t="s">
        <v>79</v>
      </c>
      <c r="E156" t="s">
        <v>26</v>
      </c>
      <c r="F156" t="s">
        <v>60</v>
      </c>
      <c r="G156" t="s">
        <v>104</v>
      </c>
      <c r="H156" t="s">
        <v>20</v>
      </c>
      <c r="I156">
        <v>7748</v>
      </c>
      <c r="J156">
        <v>1</v>
      </c>
      <c r="K156">
        <v>4.2</v>
      </c>
      <c r="L156">
        <v>4</v>
      </c>
      <c r="M156" t="s">
        <v>37</v>
      </c>
    </row>
    <row r="157" spans="1:13">
      <c r="A157" t="s">
        <v>366</v>
      </c>
      <c r="B157" t="s">
        <v>367</v>
      </c>
      <c r="C157" t="s">
        <v>45</v>
      </c>
      <c r="D157" t="s">
        <v>34</v>
      </c>
      <c r="E157" t="s">
        <v>35</v>
      </c>
      <c r="F157" t="s">
        <v>18</v>
      </c>
      <c r="G157" t="s">
        <v>28</v>
      </c>
      <c r="H157" t="s">
        <v>36</v>
      </c>
      <c r="I157">
        <v>83099</v>
      </c>
      <c r="J157">
        <v>1</v>
      </c>
      <c r="K157">
        <v>3.6</v>
      </c>
      <c r="L157">
        <v>2</v>
      </c>
      <c r="M157" t="s">
        <v>87</v>
      </c>
    </row>
    <row r="158" spans="1:13">
      <c r="A158" t="s">
        <v>368</v>
      </c>
      <c r="B158" t="s">
        <v>369</v>
      </c>
      <c r="C158" t="s">
        <v>122</v>
      </c>
      <c r="D158" t="s">
        <v>147</v>
      </c>
      <c r="E158" t="s">
        <v>52</v>
      </c>
      <c r="F158" t="s">
        <v>27</v>
      </c>
      <c r="G158" t="s">
        <v>104</v>
      </c>
      <c r="H158" t="s">
        <v>29</v>
      </c>
      <c r="I158">
        <v>19680</v>
      </c>
      <c r="J158">
        <v>8</v>
      </c>
      <c r="K158">
        <v>4.0999999999999996</v>
      </c>
      <c r="L158">
        <v>5</v>
      </c>
      <c r="M158" t="s">
        <v>55</v>
      </c>
    </row>
    <row r="159" spans="1:13">
      <c r="A159" t="s">
        <v>370</v>
      </c>
      <c r="B159" t="s">
        <v>371</v>
      </c>
      <c r="C159" t="s">
        <v>133</v>
      </c>
      <c r="D159" t="s">
        <v>109</v>
      </c>
      <c r="E159" t="s">
        <v>52</v>
      </c>
      <c r="F159" t="s">
        <v>100</v>
      </c>
      <c r="G159" t="s">
        <v>28</v>
      </c>
      <c r="H159" t="s">
        <v>36</v>
      </c>
      <c r="I159">
        <v>5920</v>
      </c>
      <c r="J159">
        <v>4</v>
      </c>
      <c r="K159">
        <v>4.9000000000000004</v>
      </c>
      <c r="L159">
        <v>3</v>
      </c>
      <c r="M159" t="s">
        <v>80</v>
      </c>
    </row>
    <row r="160" spans="1:13">
      <c r="A160" t="s">
        <v>372</v>
      </c>
      <c r="B160" t="s">
        <v>373</v>
      </c>
      <c r="C160" t="s">
        <v>122</v>
      </c>
      <c r="D160" t="s">
        <v>97</v>
      </c>
      <c r="E160" t="s">
        <v>35</v>
      </c>
      <c r="F160" t="s">
        <v>83</v>
      </c>
      <c r="G160" t="s">
        <v>104</v>
      </c>
      <c r="H160" t="s">
        <v>20</v>
      </c>
      <c r="I160">
        <v>336066</v>
      </c>
      <c r="J160">
        <v>6</v>
      </c>
      <c r="K160">
        <v>3.9</v>
      </c>
      <c r="L160">
        <v>8</v>
      </c>
      <c r="M160" t="s">
        <v>65</v>
      </c>
    </row>
    <row r="161" spans="1:13">
      <c r="A161" t="s">
        <v>374</v>
      </c>
      <c r="B161" t="s">
        <v>23</v>
      </c>
      <c r="C161" t="s">
        <v>75</v>
      </c>
      <c r="D161" t="s">
        <v>41</v>
      </c>
      <c r="E161" t="s">
        <v>42</v>
      </c>
      <c r="F161" t="s">
        <v>60</v>
      </c>
      <c r="G161" t="s">
        <v>104</v>
      </c>
      <c r="H161" t="s">
        <v>36</v>
      </c>
      <c r="I161">
        <v>27167</v>
      </c>
      <c r="J161">
        <v>7</v>
      </c>
      <c r="K161">
        <v>3.7</v>
      </c>
      <c r="L161">
        <v>6</v>
      </c>
      <c r="M161" t="s">
        <v>30</v>
      </c>
    </row>
    <row r="162" spans="1:13">
      <c r="A162" t="s">
        <v>375</v>
      </c>
      <c r="B162" t="s">
        <v>376</v>
      </c>
      <c r="C162" t="s">
        <v>125</v>
      </c>
      <c r="D162" t="s">
        <v>79</v>
      </c>
      <c r="E162" t="s">
        <v>26</v>
      </c>
      <c r="F162" t="s">
        <v>83</v>
      </c>
      <c r="G162" t="s">
        <v>104</v>
      </c>
      <c r="H162" t="s">
        <v>29</v>
      </c>
      <c r="I162">
        <v>52130</v>
      </c>
      <c r="J162">
        <v>5</v>
      </c>
      <c r="K162">
        <v>4.5</v>
      </c>
      <c r="L162">
        <v>4</v>
      </c>
      <c r="M162" t="s">
        <v>144</v>
      </c>
    </row>
    <row r="163" spans="1:13">
      <c r="A163" t="s">
        <v>377</v>
      </c>
      <c r="B163" t="s">
        <v>89</v>
      </c>
      <c r="C163" t="s">
        <v>40</v>
      </c>
      <c r="D163" t="s">
        <v>86</v>
      </c>
      <c r="E163" t="s">
        <v>17</v>
      </c>
      <c r="F163" t="s">
        <v>60</v>
      </c>
      <c r="G163" t="s">
        <v>28</v>
      </c>
      <c r="H163" t="s">
        <v>29</v>
      </c>
      <c r="I163">
        <v>2560</v>
      </c>
      <c r="J163">
        <v>2</v>
      </c>
      <c r="K163">
        <v>4.8</v>
      </c>
      <c r="L163">
        <v>6</v>
      </c>
      <c r="M163" t="s">
        <v>37</v>
      </c>
    </row>
    <row r="164" spans="1:13">
      <c r="A164" t="s">
        <v>378</v>
      </c>
      <c r="B164" t="s">
        <v>379</v>
      </c>
      <c r="C164" t="s">
        <v>33</v>
      </c>
      <c r="D164" t="s">
        <v>130</v>
      </c>
      <c r="E164" t="s">
        <v>35</v>
      </c>
      <c r="F164" t="s">
        <v>100</v>
      </c>
      <c r="G164" t="s">
        <v>19</v>
      </c>
      <c r="H164" t="s">
        <v>20</v>
      </c>
      <c r="I164">
        <v>512296</v>
      </c>
      <c r="J164">
        <v>8</v>
      </c>
      <c r="K164">
        <v>3.9</v>
      </c>
      <c r="L164">
        <v>7</v>
      </c>
      <c r="M164" t="s">
        <v>55</v>
      </c>
    </row>
    <row r="165" spans="1:13">
      <c r="A165" t="s">
        <v>380</v>
      </c>
      <c r="B165" t="s">
        <v>381</v>
      </c>
      <c r="C165" t="s">
        <v>125</v>
      </c>
      <c r="D165" t="s">
        <v>218</v>
      </c>
      <c r="E165" t="s">
        <v>17</v>
      </c>
      <c r="F165" t="s">
        <v>100</v>
      </c>
      <c r="G165" t="s">
        <v>104</v>
      </c>
      <c r="H165" t="s">
        <v>29</v>
      </c>
      <c r="I165">
        <v>6328</v>
      </c>
      <c r="J165">
        <v>7</v>
      </c>
      <c r="K165">
        <v>3.9</v>
      </c>
      <c r="L165">
        <v>4</v>
      </c>
      <c r="M165" t="s">
        <v>30</v>
      </c>
    </row>
    <row r="166" spans="1:13">
      <c r="A166" t="s">
        <v>382</v>
      </c>
      <c r="B166" t="s">
        <v>383</v>
      </c>
      <c r="C166" t="s">
        <v>112</v>
      </c>
      <c r="D166" t="s">
        <v>90</v>
      </c>
      <c r="E166" t="s">
        <v>42</v>
      </c>
      <c r="F166" t="s">
        <v>18</v>
      </c>
      <c r="G166" t="s">
        <v>54</v>
      </c>
      <c r="H166" t="s">
        <v>36</v>
      </c>
      <c r="I166">
        <v>5538</v>
      </c>
      <c r="J166">
        <v>3</v>
      </c>
      <c r="K166">
        <v>4.0999999999999996</v>
      </c>
      <c r="L166">
        <v>1</v>
      </c>
      <c r="M166" t="s">
        <v>47</v>
      </c>
    </row>
    <row r="167" spans="1:13">
      <c r="A167" t="s">
        <v>384</v>
      </c>
      <c r="B167" t="s">
        <v>385</v>
      </c>
      <c r="C167" t="s">
        <v>45</v>
      </c>
      <c r="D167" t="s">
        <v>116</v>
      </c>
      <c r="E167" t="s">
        <v>17</v>
      </c>
      <c r="F167" t="s">
        <v>27</v>
      </c>
      <c r="G167" t="s">
        <v>28</v>
      </c>
      <c r="H167" t="s">
        <v>64</v>
      </c>
      <c r="I167">
        <v>1756</v>
      </c>
      <c r="J167">
        <v>4</v>
      </c>
      <c r="K167">
        <v>4</v>
      </c>
      <c r="L167">
        <v>1</v>
      </c>
      <c r="M167" t="s">
        <v>80</v>
      </c>
    </row>
    <row r="168" spans="1:13">
      <c r="A168" t="s">
        <v>386</v>
      </c>
      <c r="B168" t="s">
        <v>387</v>
      </c>
      <c r="C168" t="s">
        <v>112</v>
      </c>
      <c r="D168" t="s">
        <v>16</v>
      </c>
      <c r="E168" t="s">
        <v>17</v>
      </c>
      <c r="F168" t="s">
        <v>27</v>
      </c>
      <c r="G168" t="s">
        <v>28</v>
      </c>
      <c r="H168" t="s">
        <v>20</v>
      </c>
      <c r="I168">
        <v>2268</v>
      </c>
      <c r="J168">
        <v>7</v>
      </c>
      <c r="K168">
        <v>5</v>
      </c>
      <c r="L168">
        <v>1</v>
      </c>
      <c r="M168" t="s">
        <v>65</v>
      </c>
    </row>
    <row r="169" spans="1:13">
      <c r="A169" t="s">
        <v>388</v>
      </c>
      <c r="B169" t="s">
        <v>373</v>
      </c>
      <c r="C169" t="s">
        <v>50</v>
      </c>
      <c r="D169" t="s">
        <v>16</v>
      </c>
      <c r="E169" t="s">
        <v>17</v>
      </c>
      <c r="F169" t="s">
        <v>18</v>
      </c>
      <c r="G169" t="s">
        <v>104</v>
      </c>
      <c r="H169" t="s">
        <v>64</v>
      </c>
      <c r="I169">
        <v>2379</v>
      </c>
      <c r="J169">
        <v>3</v>
      </c>
      <c r="K169">
        <v>4.7</v>
      </c>
      <c r="L169">
        <v>5</v>
      </c>
      <c r="M169" t="s">
        <v>65</v>
      </c>
    </row>
    <row r="170" spans="1:13">
      <c r="A170" t="s">
        <v>389</v>
      </c>
      <c r="B170" t="s">
        <v>298</v>
      </c>
      <c r="C170" t="s">
        <v>33</v>
      </c>
      <c r="D170" t="s">
        <v>159</v>
      </c>
      <c r="E170" t="s">
        <v>42</v>
      </c>
      <c r="F170" t="s">
        <v>27</v>
      </c>
      <c r="G170" t="s">
        <v>54</v>
      </c>
      <c r="H170" t="s">
        <v>20</v>
      </c>
      <c r="I170">
        <v>5860</v>
      </c>
      <c r="J170">
        <v>4</v>
      </c>
      <c r="K170">
        <v>3.9</v>
      </c>
      <c r="L170">
        <v>8</v>
      </c>
      <c r="M170" t="s">
        <v>119</v>
      </c>
    </row>
    <row r="171" spans="1:13">
      <c r="A171" t="s">
        <v>390</v>
      </c>
      <c r="B171" t="s">
        <v>391</v>
      </c>
      <c r="C171" t="s">
        <v>103</v>
      </c>
      <c r="D171" t="s">
        <v>116</v>
      </c>
      <c r="E171" t="s">
        <v>17</v>
      </c>
      <c r="F171" t="s">
        <v>18</v>
      </c>
      <c r="G171" t="s">
        <v>54</v>
      </c>
      <c r="H171" t="s">
        <v>29</v>
      </c>
      <c r="I171">
        <v>8748</v>
      </c>
      <c r="J171">
        <v>6</v>
      </c>
      <c r="K171">
        <v>3.6</v>
      </c>
      <c r="L171">
        <v>8</v>
      </c>
      <c r="M171" t="s">
        <v>47</v>
      </c>
    </row>
    <row r="172" spans="1:13">
      <c r="A172" t="s">
        <v>392</v>
      </c>
      <c r="B172" t="s">
        <v>393</v>
      </c>
      <c r="C172" t="s">
        <v>24</v>
      </c>
      <c r="D172" t="s">
        <v>25</v>
      </c>
      <c r="E172" t="s">
        <v>26</v>
      </c>
      <c r="F172" t="s">
        <v>100</v>
      </c>
      <c r="G172" t="s">
        <v>19</v>
      </c>
      <c r="H172" t="s">
        <v>64</v>
      </c>
      <c r="I172">
        <v>43950</v>
      </c>
      <c r="J172">
        <v>6</v>
      </c>
      <c r="K172">
        <v>4.9000000000000004</v>
      </c>
      <c r="L172">
        <v>5</v>
      </c>
      <c r="M172" t="s">
        <v>37</v>
      </c>
    </row>
    <row r="173" spans="1:13">
      <c r="A173" t="s">
        <v>394</v>
      </c>
      <c r="B173" t="s">
        <v>352</v>
      </c>
      <c r="C173" t="s">
        <v>75</v>
      </c>
      <c r="D173" t="s">
        <v>59</v>
      </c>
      <c r="E173" t="s">
        <v>26</v>
      </c>
      <c r="F173" t="s">
        <v>53</v>
      </c>
      <c r="G173" t="s">
        <v>28</v>
      </c>
      <c r="H173" t="s">
        <v>29</v>
      </c>
      <c r="I173">
        <v>5037</v>
      </c>
      <c r="J173">
        <v>3</v>
      </c>
      <c r="K173">
        <v>3.4</v>
      </c>
      <c r="L173">
        <v>4</v>
      </c>
      <c r="M173" t="s">
        <v>55</v>
      </c>
    </row>
    <row r="174" spans="1:13">
      <c r="A174" t="s">
        <v>395</v>
      </c>
      <c r="B174" t="s">
        <v>396</v>
      </c>
      <c r="C174" t="s">
        <v>75</v>
      </c>
      <c r="D174" t="s">
        <v>218</v>
      </c>
      <c r="E174" t="s">
        <v>17</v>
      </c>
      <c r="F174" t="s">
        <v>100</v>
      </c>
      <c r="G174" t="s">
        <v>104</v>
      </c>
      <c r="H174" t="s">
        <v>20</v>
      </c>
      <c r="I174">
        <v>6136</v>
      </c>
      <c r="J174">
        <v>8</v>
      </c>
      <c r="K174">
        <v>3.5</v>
      </c>
      <c r="L174">
        <v>7</v>
      </c>
      <c r="M174" t="s">
        <v>47</v>
      </c>
    </row>
    <row r="175" spans="1:13">
      <c r="A175" t="s">
        <v>397</v>
      </c>
      <c r="B175" t="s">
        <v>398</v>
      </c>
      <c r="C175" t="s">
        <v>40</v>
      </c>
      <c r="D175" t="s">
        <v>16</v>
      </c>
      <c r="E175" t="s">
        <v>17</v>
      </c>
      <c r="F175" t="s">
        <v>60</v>
      </c>
      <c r="G175" t="s">
        <v>104</v>
      </c>
      <c r="H175" t="s">
        <v>29</v>
      </c>
      <c r="I175">
        <v>3234</v>
      </c>
      <c r="J175">
        <v>3</v>
      </c>
      <c r="K175">
        <v>3.4</v>
      </c>
      <c r="L175">
        <v>1</v>
      </c>
      <c r="M175" t="s">
        <v>21</v>
      </c>
    </row>
    <row r="176" spans="1:13">
      <c r="A176" t="s">
        <v>399</v>
      </c>
      <c r="B176" t="s">
        <v>400</v>
      </c>
      <c r="C176" t="s">
        <v>75</v>
      </c>
      <c r="D176" t="s">
        <v>86</v>
      </c>
      <c r="E176" t="s">
        <v>17</v>
      </c>
      <c r="F176" t="s">
        <v>53</v>
      </c>
      <c r="G176" t="s">
        <v>54</v>
      </c>
      <c r="H176" t="s">
        <v>29</v>
      </c>
      <c r="I176">
        <v>3546</v>
      </c>
      <c r="J176">
        <v>3</v>
      </c>
      <c r="K176">
        <v>3.9</v>
      </c>
      <c r="L176">
        <v>1</v>
      </c>
      <c r="M176" t="s">
        <v>87</v>
      </c>
    </row>
    <row r="177" spans="1:13">
      <c r="A177" t="s">
        <v>401</v>
      </c>
      <c r="B177" t="s">
        <v>402</v>
      </c>
      <c r="C177" t="s">
        <v>24</v>
      </c>
      <c r="D177" t="s">
        <v>41</v>
      </c>
      <c r="E177" t="s">
        <v>42</v>
      </c>
      <c r="F177" t="s">
        <v>83</v>
      </c>
      <c r="G177" t="s">
        <v>104</v>
      </c>
      <c r="H177" t="s">
        <v>29</v>
      </c>
      <c r="I177">
        <v>18816</v>
      </c>
      <c r="J177">
        <v>7</v>
      </c>
      <c r="K177">
        <v>4.0999999999999996</v>
      </c>
      <c r="L177">
        <v>7</v>
      </c>
      <c r="M177" t="s">
        <v>21</v>
      </c>
    </row>
    <row r="178" spans="1:13">
      <c r="A178" t="s">
        <v>403</v>
      </c>
      <c r="B178" t="s">
        <v>404</v>
      </c>
      <c r="C178" t="s">
        <v>129</v>
      </c>
      <c r="D178" t="s">
        <v>97</v>
      </c>
      <c r="E178" t="s">
        <v>35</v>
      </c>
      <c r="F178" t="s">
        <v>53</v>
      </c>
      <c r="G178" t="s">
        <v>19</v>
      </c>
      <c r="H178" t="s">
        <v>64</v>
      </c>
      <c r="I178">
        <v>77340</v>
      </c>
      <c r="J178">
        <v>2</v>
      </c>
      <c r="K178">
        <v>4.0999999999999996</v>
      </c>
      <c r="L178">
        <v>2</v>
      </c>
      <c r="M178" t="s">
        <v>80</v>
      </c>
    </row>
    <row r="179" spans="1:13">
      <c r="A179" t="s">
        <v>405</v>
      </c>
      <c r="B179" t="s">
        <v>406</v>
      </c>
      <c r="C179" t="s">
        <v>170</v>
      </c>
      <c r="D179" t="s">
        <v>79</v>
      </c>
      <c r="E179" t="s">
        <v>26</v>
      </c>
      <c r="F179" t="s">
        <v>60</v>
      </c>
      <c r="G179" t="s">
        <v>104</v>
      </c>
      <c r="H179" t="s">
        <v>64</v>
      </c>
      <c r="I179">
        <v>12486</v>
      </c>
      <c r="J179">
        <v>2</v>
      </c>
      <c r="K179">
        <v>4.7</v>
      </c>
      <c r="L179">
        <v>7</v>
      </c>
      <c r="M179" t="s">
        <v>47</v>
      </c>
    </row>
    <row r="180" spans="1:13">
      <c r="A180" t="s">
        <v>407</v>
      </c>
      <c r="B180" t="s">
        <v>408</v>
      </c>
      <c r="C180" t="s">
        <v>40</v>
      </c>
      <c r="D180" t="s">
        <v>79</v>
      </c>
      <c r="E180" t="s">
        <v>26</v>
      </c>
      <c r="F180" t="s">
        <v>27</v>
      </c>
      <c r="G180" t="s">
        <v>28</v>
      </c>
      <c r="H180" t="s">
        <v>20</v>
      </c>
      <c r="I180">
        <v>22260</v>
      </c>
      <c r="J180">
        <v>6</v>
      </c>
      <c r="K180">
        <v>4.9000000000000004</v>
      </c>
      <c r="L180">
        <v>6</v>
      </c>
      <c r="M180" t="s">
        <v>126</v>
      </c>
    </row>
    <row r="181" spans="1:13">
      <c r="A181" t="s">
        <v>409</v>
      </c>
      <c r="B181" t="s">
        <v>237</v>
      </c>
      <c r="C181" t="s">
        <v>78</v>
      </c>
      <c r="D181" t="s">
        <v>97</v>
      </c>
      <c r="E181" t="s">
        <v>35</v>
      </c>
      <c r="F181" t="s">
        <v>18</v>
      </c>
      <c r="G181" t="s">
        <v>28</v>
      </c>
      <c r="H181" t="s">
        <v>20</v>
      </c>
      <c r="I181">
        <v>534835</v>
      </c>
      <c r="J181">
        <v>7</v>
      </c>
      <c r="K181">
        <v>5</v>
      </c>
      <c r="L181">
        <v>3</v>
      </c>
      <c r="M181" t="s">
        <v>21</v>
      </c>
    </row>
    <row r="182" spans="1:13">
      <c r="A182" t="s">
        <v>410</v>
      </c>
      <c r="B182" t="s">
        <v>411</v>
      </c>
      <c r="C182" t="s">
        <v>133</v>
      </c>
      <c r="D182" t="s">
        <v>46</v>
      </c>
      <c r="E182" t="s">
        <v>42</v>
      </c>
      <c r="F182" t="s">
        <v>60</v>
      </c>
      <c r="G182" t="s">
        <v>54</v>
      </c>
      <c r="H182" t="s">
        <v>64</v>
      </c>
      <c r="I182">
        <v>11776</v>
      </c>
      <c r="J182">
        <v>2</v>
      </c>
      <c r="K182">
        <v>3.6</v>
      </c>
      <c r="L182">
        <v>3</v>
      </c>
      <c r="M182" t="s">
        <v>119</v>
      </c>
    </row>
    <row r="183" spans="1:13">
      <c r="A183" t="s">
        <v>412</v>
      </c>
      <c r="B183" t="s">
        <v>413</v>
      </c>
      <c r="C183" t="s">
        <v>78</v>
      </c>
      <c r="D183" t="s">
        <v>69</v>
      </c>
      <c r="E183" t="s">
        <v>26</v>
      </c>
      <c r="F183" t="s">
        <v>100</v>
      </c>
      <c r="G183" t="s">
        <v>54</v>
      </c>
      <c r="H183" t="s">
        <v>36</v>
      </c>
      <c r="I183">
        <v>9814</v>
      </c>
      <c r="J183">
        <v>7</v>
      </c>
      <c r="K183">
        <v>4.5999999999999996</v>
      </c>
      <c r="L183">
        <v>6</v>
      </c>
      <c r="M183" t="s">
        <v>30</v>
      </c>
    </row>
    <row r="184" spans="1:13">
      <c r="A184" t="s">
        <v>414</v>
      </c>
      <c r="B184" t="s">
        <v>415</v>
      </c>
      <c r="C184" t="s">
        <v>122</v>
      </c>
      <c r="D184" t="s">
        <v>109</v>
      </c>
      <c r="E184" t="s">
        <v>52</v>
      </c>
      <c r="F184" t="s">
        <v>100</v>
      </c>
      <c r="G184" t="s">
        <v>19</v>
      </c>
      <c r="H184" t="s">
        <v>64</v>
      </c>
      <c r="I184">
        <v>1886</v>
      </c>
      <c r="J184">
        <v>1</v>
      </c>
      <c r="K184">
        <v>3.2</v>
      </c>
      <c r="L184">
        <v>5</v>
      </c>
      <c r="M184" t="s">
        <v>80</v>
      </c>
    </row>
    <row r="185" spans="1:13">
      <c r="A185" t="s">
        <v>416</v>
      </c>
      <c r="B185" t="s">
        <v>172</v>
      </c>
      <c r="C185" t="s">
        <v>68</v>
      </c>
      <c r="D185" t="s">
        <v>97</v>
      </c>
      <c r="E185" t="s">
        <v>35</v>
      </c>
      <c r="F185" t="s">
        <v>27</v>
      </c>
      <c r="G185" t="s">
        <v>19</v>
      </c>
      <c r="H185" t="s">
        <v>29</v>
      </c>
      <c r="I185">
        <v>197331</v>
      </c>
      <c r="J185">
        <v>3</v>
      </c>
      <c r="K185">
        <v>3.9</v>
      </c>
      <c r="L185">
        <v>2</v>
      </c>
      <c r="M185" t="s">
        <v>47</v>
      </c>
    </row>
    <row r="186" spans="1:13">
      <c r="A186" t="s">
        <v>417</v>
      </c>
      <c r="B186" t="s">
        <v>418</v>
      </c>
      <c r="C186" t="s">
        <v>170</v>
      </c>
      <c r="D186" t="s">
        <v>130</v>
      </c>
      <c r="E186" t="s">
        <v>35</v>
      </c>
      <c r="F186" t="s">
        <v>18</v>
      </c>
      <c r="G186" t="s">
        <v>104</v>
      </c>
      <c r="H186" t="s">
        <v>36</v>
      </c>
      <c r="I186">
        <v>192608</v>
      </c>
      <c r="J186">
        <v>4</v>
      </c>
      <c r="K186">
        <v>4</v>
      </c>
      <c r="L186">
        <v>8</v>
      </c>
      <c r="M186" t="s">
        <v>47</v>
      </c>
    </row>
    <row r="187" spans="1:13">
      <c r="A187" t="s">
        <v>419</v>
      </c>
      <c r="B187" t="s">
        <v>420</v>
      </c>
      <c r="C187" t="s">
        <v>78</v>
      </c>
      <c r="D187" t="s">
        <v>16</v>
      </c>
      <c r="E187" t="s">
        <v>17</v>
      </c>
      <c r="F187" t="s">
        <v>60</v>
      </c>
      <c r="G187" t="s">
        <v>28</v>
      </c>
      <c r="H187" t="s">
        <v>20</v>
      </c>
      <c r="I187">
        <v>3372</v>
      </c>
      <c r="J187">
        <v>2</v>
      </c>
      <c r="K187">
        <v>4.2</v>
      </c>
      <c r="L187">
        <v>6</v>
      </c>
      <c r="M187" t="s">
        <v>126</v>
      </c>
    </row>
    <row r="188" spans="1:13">
      <c r="A188" t="s">
        <v>421</v>
      </c>
      <c r="B188" t="s">
        <v>422</v>
      </c>
      <c r="C188" t="s">
        <v>15</v>
      </c>
      <c r="D188" t="s">
        <v>159</v>
      </c>
      <c r="E188" t="s">
        <v>42</v>
      </c>
      <c r="F188" t="s">
        <v>27</v>
      </c>
      <c r="G188" t="s">
        <v>19</v>
      </c>
      <c r="H188" t="s">
        <v>20</v>
      </c>
      <c r="I188">
        <v>16212</v>
      </c>
      <c r="J188">
        <v>7</v>
      </c>
      <c r="K188">
        <v>4.3</v>
      </c>
      <c r="L188">
        <v>7</v>
      </c>
      <c r="M188" t="s">
        <v>37</v>
      </c>
    </row>
    <row r="189" spans="1:13">
      <c r="A189" t="s">
        <v>423</v>
      </c>
      <c r="B189" t="s">
        <v>424</v>
      </c>
      <c r="C189" t="s">
        <v>125</v>
      </c>
      <c r="D189" t="s">
        <v>113</v>
      </c>
      <c r="E189" t="s">
        <v>35</v>
      </c>
      <c r="F189" t="s">
        <v>100</v>
      </c>
      <c r="G189" t="s">
        <v>104</v>
      </c>
      <c r="H189" t="s">
        <v>64</v>
      </c>
      <c r="I189">
        <v>100890</v>
      </c>
      <c r="J189">
        <v>2</v>
      </c>
      <c r="K189">
        <v>4</v>
      </c>
      <c r="L189">
        <v>5</v>
      </c>
      <c r="M189" t="s">
        <v>30</v>
      </c>
    </row>
    <row r="190" spans="1:13">
      <c r="A190" t="s">
        <v>425</v>
      </c>
      <c r="B190" t="s">
        <v>222</v>
      </c>
      <c r="C190" t="s">
        <v>45</v>
      </c>
      <c r="D190" t="s">
        <v>69</v>
      </c>
      <c r="E190" t="s">
        <v>26</v>
      </c>
      <c r="F190" t="s">
        <v>100</v>
      </c>
      <c r="G190" t="s">
        <v>54</v>
      </c>
      <c r="H190" t="s">
        <v>20</v>
      </c>
      <c r="I190">
        <v>7252</v>
      </c>
      <c r="J190">
        <v>2</v>
      </c>
      <c r="K190">
        <v>4.7</v>
      </c>
      <c r="L190">
        <v>5</v>
      </c>
      <c r="M190" t="s">
        <v>30</v>
      </c>
    </row>
    <row r="191" spans="1:13">
      <c r="A191" t="s">
        <v>426</v>
      </c>
      <c r="B191" t="s">
        <v>427</v>
      </c>
      <c r="C191" t="s">
        <v>58</v>
      </c>
      <c r="D191" t="s">
        <v>113</v>
      </c>
      <c r="E191" t="s">
        <v>35</v>
      </c>
      <c r="F191" t="s">
        <v>60</v>
      </c>
      <c r="G191" t="s">
        <v>28</v>
      </c>
      <c r="H191" t="s">
        <v>20</v>
      </c>
      <c r="I191">
        <v>257145</v>
      </c>
      <c r="J191">
        <v>5</v>
      </c>
      <c r="K191">
        <v>3.9</v>
      </c>
      <c r="L191">
        <v>3</v>
      </c>
      <c r="M191" t="s">
        <v>21</v>
      </c>
    </row>
    <row r="192" spans="1:13">
      <c r="A192" t="s">
        <v>428</v>
      </c>
      <c r="B192" t="s">
        <v>429</v>
      </c>
      <c r="C192" t="s">
        <v>129</v>
      </c>
      <c r="D192" t="s">
        <v>159</v>
      </c>
      <c r="E192" t="s">
        <v>42</v>
      </c>
      <c r="F192" t="s">
        <v>18</v>
      </c>
      <c r="G192" t="s">
        <v>28</v>
      </c>
      <c r="H192" t="s">
        <v>20</v>
      </c>
      <c r="I192">
        <v>6696</v>
      </c>
      <c r="J192">
        <v>3</v>
      </c>
      <c r="K192">
        <v>4.7</v>
      </c>
      <c r="L192">
        <v>1</v>
      </c>
      <c r="M192" t="s">
        <v>30</v>
      </c>
    </row>
    <row r="193" spans="1:13">
      <c r="A193" t="s">
        <v>430</v>
      </c>
      <c r="B193" t="s">
        <v>23</v>
      </c>
      <c r="C193" t="s">
        <v>122</v>
      </c>
      <c r="D193" t="s">
        <v>51</v>
      </c>
      <c r="E193" t="s">
        <v>52</v>
      </c>
      <c r="F193" t="s">
        <v>53</v>
      </c>
      <c r="G193" t="s">
        <v>54</v>
      </c>
      <c r="H193" t="s">
        <v>29</v>
      </c>
      <c r="I193">
        <v>18112</v>
      </c>
      <c r="J193">
        <v>8</v>
      </c>
      <c r="K193">
        <v>3.5</v>
      </c>
      <c r="L193">
        <v>1</v>
      </c>
      <c r="M193" t="s">
        <v>30</v>
      </c>
    </row>
    <row r="194" spans="1:13">
      <c r="A194" t="s">
        <v>431</v>
      </c>
      <c r="B194" t="s">
        <v>432</v>
      </c>
      <c r="C194" t="s">
        <v>78</v>
      </c>
      <c r="D194" t="s">
        <v>109</v>
      </c>
      <c r="E194" t="s">
        <v>52</v>
      </c>
      <c r="F194" t="s">
        <v>53</v>
      </c>
      <c r="G194" t="s">
        <v>54</v>
      </c>
      <c r="H194" t="s">
        <v>64</v>
      </c>
      <c r="I194">
        <v>18224</v>
      </c>
      <c r="J194">
        <v>8</v>
      </c>
      <c r="K194">
        <v>4.2</v>
      </c>
      <c r="L194">
        <v>5</v>
      </c>
      <c r="M194" t="s">
        <v>80</v>
      </c>
    </row>
    <row r="195" spans="1:13">
      <c r="A195" t="s">
        <v>433</v>
      </c>
      <c r="B195" t="s">
        <v>434</v>
      </c>
      <c r="C195" t="s">
        <v>146</v>
      </c>
      <c r="D195" t="s">
        <v>79</v>
      </c>
      <c r="E195" t="s">
        <v>26</v>
      </c>
      <c r="F195" t="s">
        <v>18</v>
      </c>
      <c r="G195" t="s">
        <v>19</v>
      </c>
      <c r="H195" t="s">
        <v>20</v>
      </c>
      <c r="I195">
        <v>16336</v>
      </c>
      <c r="J195">
        <v>2</v>
      </c>
      <c r="K195">
        <v>3.7</v>
      </c>
      <c r="L195">
        <v>2</v>
      </c>
      <c r="M195" t="s">
        <v>47</v>
      </c>
    </row>
    <row r="196" spans="1:13">
      <c r="A196" t="s">
        <v>435</v>
      </c>
      <c r="B196" t="s">
        <v>436</v>
      </c>
      <c r="C196" t="s">
        <v>45</v>
      </c>
      <c r="D196" t="s">
        <v>59</v>
      </c>
      <c r="E196" t="s">
        <v>26</v>
      </c>
      <c r="F196" t="s">
        <v>100</v>
      </c>
      <c r="G196" t="s">
        <v>19</v>
      </c>
      <c r="H196" t="s">
        <v>29</v>
      </c>
      <c r="I196">
        <v>12404</v>
      </c>
      <c r="J196">
        <v>7</v>
      </c>
      <c r="K196">
        <v>4.2</v>
      </c>
      <c r="L196">
        <v>5</v>
      </c>
      <c r="M196" t="s">
        <v>119</v>
      </c>
    </row>
    <row r="197" spans="1:13">
      <c r="A197" t="s">
        <v>437</v>
      </c>
      <c r="B197" t="s">
        <v>252</v>
      </c>
      <c r="C197" t="s">
        <v>72</v>
      </c>
      <c r="D197" t="s">
        <v>130</v>
      </c>
      <c r="E197" t="s">
        <v>35</v>
      </c>
      <c r="F197" t="s">
        <v>83</v>
      </c>
      <c r="G197" t="s">
        <v>19</v>
      </c>
      <c r="H197" t="s">
        <v>29</v>
      </c>
      <c r="I197">
        <v>101355</v>
      </c>
      <c r="J197">
        <v>5</v>
      </c>
      <c r="K197">
        <v>5</v>
      </c>
      <c r="L197">
        <v>3</v>
      </c>
      <c r="M197" t="s">
        <v>30</v>
      </c>
    </row>
    <row r="198" spans="1:13">
      <c r="A198" t="s">
        <v>438</v>
      </c>
      <c r="B198" t="s">
        <v>74</v>
      </c>
      <c r="C198" t="s">
        <v>50</v>
      </c>
      <c r="D198" t="s">
        <v>51</v>
      </c>
      <c r="E198" t="s">
        <v>52</v>
      </c>
      <c r="F198" t="s">
        <v>100</v>
      </c>
      <c r="G198" t="s">
        <v>104</v>
      </c>
      <c r="H198" t="s">
        <v>29</v>
      </c>
      <c r="I198">
        <v>4050</v>
      </c>
      <c r="J198">
        <v>3</v>
      </c>
      <c r="K198">
        <v>4</v>
      </c>
      <c r="L198">
        <v>2</v>
      </c>
      <c r="M198" t="s">
        <v>65</v>
      </c>
    </row>
    <row r="199" spans="1:13">
      <c r="A199" t="s">
        <v>439</v>
      </c>
      <c r="B199" t="s">
        <v>440</v>
      </c>
      <c r="C199" t="s">
        <v>78</v>
      </c>
      <c r="D199" t="s">
        <v>90</v>
      </c>
      <c r="E199" t="s">
        <v>42</v>
      </c>
      <c r="F199" t="s">
        <v>60</v>
      </c>
      <c r="G199" t="s">
        <v>19</v>
      </c>
      <c r="H199" t="s">
        <v>64</v>
      </c>
      <c r="I199">
        <v>5900</v>
      </c>
      <c r="J199">
        <v>1</v>
      </c>
      <c r="K199">
        <v>4.5</v>
      </c>
      <c r="L199">
        <v>2</v>
      </c>
      <c r="M199" t="s">
        <v>126</v>
      </c>
    </row>
    <row r="200" spans="1:13">
      <c r="A200" t="s">
        <v>441</v>
      </c>
      <c r="B200" t="s">
        <v>398</v>
      </c>
      <c r="C200" t="s">
        <v>170</v>
      </c>
      <c r="D200" t="s">
        <v>51</v>
      </c>
      <c r="E200" t="s">
        <v>52</v>
      </c>
      <c r="F200" t="s">
        <v>27</v>
      </c>
      <c r="G200" t="s">
        <v>54</v>
      </c>
      <c r="H200" t="s">
        <v>36</v>
      </c>
      <c r="I200">
        <v>9798</v>
      </c>
      <c r="J200">
        <v>6</v>
      </c>
      <c r="K200">
        <v>4.2</v>
      </c>
      <c r="L200">
        <v>8</v>
      </c>
      <c r="M200" t="s">
        <v>21</v>
      </c>
    </row>
    <row r="201" spans="1:13">
      <c r="A201" t="s">
        <v>442</v>
      </c>
      <c r="B201" t="s">
        <v>296</v>
      </c>
      <c r="C201" t="s">
        <v>40</v>
      </c>
      <c r="D201" t="s">
        <v>116</v>
      </c>
      <c r="E201" t="s">
        <v>17</v>
      </c>
      <c r="F201" t="s">
        <v>83</v>
      </c>
      <c r="G201" t="s">
        <v>104</v>
      </c>
      <c r="H201" t="s">
        <v>36</v>
      </c>
      <c r="I201">
        <v>1246</v>
      </c>
      <c r="J201">
        <v>2</v>
      </c>
      <c r="K201">
        <v>3.6</v>
      </c>
      <c r="L201">
        <v>3</v>
      </c>
      <c r="M201" t="s">
        <v>144</v>
      </c>
    </row>
    <row r="202" spans="1:13">
      <c r="A202" t="s">
        <v>443</v>
      </c>
      <c r="B202" t="s">
        <v>444</v>
      </c>
      <c r="C202" t="s">
        <v>133</v>
      </c>
      <c r="D202" t="s">
        <v>130</v>
      </c>
      <c r="E202" t="s">
        <v>35</v>
      </c>
      <c r="F202" t="s">
        <v>27</v>
      </c>
      <c r="G202" t="s">
        <v>54</v>
      </c>
      <c r="H202" t="s">
        <v>36</v>
      </c>
      <c r="I202">
        <v>55722</v>
      </c>
      <c r="J202">
        <v>6</v>
      </c>
      <c r="K202">
        <v>3.7</v>
      </c>
      <c r="L202">
        <v>4</v>
      </c>
      <c r="M202" t="s">
        <v>87</v>
      </c>
    </row>
    <row r="203" spans="1:13">
      <c r="A203" t="s">
        <v>445</v>
      </c>
      <c r="B203" t="s">
        <v>446</v>
      </c>
      <c r="C203" t="s">
        <v>68</v>
      </c>
      <c r="D203" t="s">
        <v>86</v>
      </c>
      <c r="E203" t="s">
        <v>17</v>
      </c>
      <c r="F203" t="s">
        <v>60</v>
      </c>
      <c r="G203" t="s">
        <v>19</v>
      </c>
      <c r="H203" t="s">
        <v>64</v>
      </c>
      <c r="I203">
        <v>1142</v>
      </c>
      <c r="J203">
        <v>2</v>
      </c>
      <c r="K203">
        <v>3.2</v>
      </c>
      <c r="L203">
        <v>6</v>
      </c>
      <c r="M203" t="s">
        <v>65</v>
      </c>
    </row>
    <row r="204" spans="1:13">
      <c r="A204" t="s">
        <v>447</v>
      </c>
      <c r="B204" t="s">
        <v>352</v>
      </c>
      <c r="C204" t="s">
        <v>50</v>
      </c>
      <c r="D204" t="s">
        <v>86</v>
      </c>
      <c r="E204" t="s">
        <v>17</v>
      </c>
      <c r="F204" t="s">
        <v>83</v>
      </c>
      <c r="G204" t="s">
        <v>19</v>
      </c>
      <c r="H204" t="s">
        <v>36</v>
      </c>
      <c r="I204">
        <v>3592</v>
      </c>
      <c r="J204">
        <v>2</v>
      </c>
      <c r="K204">
        <v>4.8</v>
      </c>
      <c r="L204">
        <v>3</v>
      </c>
      <c r="M204" t="s">
        <v>55</v>
      </c>
    </row>
    <row r="205" spans="1:13">
      <c r="A205" t="s">
        <v>448</v>
      </c>
      <c r="B205" t="s">
        <v>233</v>
      </c>
      <c r="C205" t="s">
        <v>179</v>
      </c>
      <c r="D205" t="s">
        <v>25</v>
      </c>
      <c r="E205" t="s">
        <v>26</v>
      </c>
      <c r="F205" t="s">
        <v>18</v>
      </c>
      <c r="G205" t="s">
        <v>54</v>
      </c>
      <c r="H205" t="s">
        <v>20</v>
      </c>
      <c r="I205">
        <v>9840</v>
      </c>
      <c r="J205">
        <v>3</v>
      </c>
      <c r="K205">
        <v>4.9000000000000004</v>
      </c>
      <c r="L205">
        <v>8</v>
      </c>
      <c r="M205" t="s">
        <v>192</v>
      </c>
    </row>
    <row r="206" spans="1:13">
      <c r="A206" t="s">
        <v>449</v>
      </c>
      <c r="B206" t="s">
        <v>450</v>
      </c>
      <c r="C206" t="s">
        <v>15</v>
      </c>
      <c r="D206" t="s">
        <v>116</v>
      </c>
      <c r="E206" t="s">
        <v>17</v>
      </c>
      <c r="F206" t="s">
        <v>27</v>
      </c>
      <c r="G206" t="s">
        <v>104</v>
      </c>
      <c r="H206" t="s">
        <v>20</v>
      </c>
      <c r="I206">
        <v>6608</v>
      </c>
      <c r="J206">
        <v>7</v>
      </c>
      <c r="K206">
        <v>3.4</v>
      </c>
      <c r="L206">
        <v>5</v>
      </c>
      <c r="M206" t="s">
        <v>126</v>
      </c>
    </row>
    <row r="207" spans="1:13">
      <c r="A207" t="s">
        <v>451</v>
      </c>
      <c r="B207" t="s">
        <v>452</v>
      </c>
      <c r="C207" t="s">
        <v>45</v>
      </c>
      <c r="D207" t="s">
        <v>79</v>
      </c>
      <c r="E207" t="s">
        <v>26</v>
      </c>
      <c r="F207" t="s">
        <v>18</v>
      </c>
      <c r="G207" t="s">
        <v>54</v>
      </c>
      <c r="H207" t="s">
        <v>29</v>
      </c>
      <c r="I207">
        <v>35610</v>
      </c>
      <c r="J207">
        <v>5</v>
      </c>
      <c r="K207">
        <v>3.4</v>
      </c>
      <c r="L207">
        <v>8</v>
      </c>
      <c r="M207" t="s">
        <v>55</v>
      </c>
    </row>
    <row r="208" spans="1:13">
      <c r="A208" t="s">
        <v>453</v>
      </c>
      <c r="B208" t="s">
        <v>454</v>
      </c>
      <c r="C208" t="s">
        <v>15</v>
      </c>
      <c r="D208" t="s">
        <v>34</v>
      </c>
      <c r="E208" t="s">
        <v>35</v>
      </c>
      <c r="F208" t="s">
        <v>53</v>
      </c>
      <c r="G208" t="s">
        <v>19</v>
      </c>
      <c r="H208" t="s">
        <v>36</v>
      </c>
      <c r="I208">
        <v>176015</v>
      </c>
      <c r="J208">
        <v>7</v>
      </c>
      <c r="K208">
        <v>3.2</v>
      </c>
      <c r="L208">
        <v>2</v>
      </c>
      <c r="M208" t="s">
        <v>55</v>
      </c>
    </row>
    <row r="209" spans="1:13">
      <c r="A209" t="s">
        <v>455</v>
      </c>
      <c r="B209" t="s">
        <v>456</v>
      </c>
      <c r="C209" t="s">
        <v>103</v>
      </c>
      <c r="D209" t="s">
        <v>116</v>
      </c>
      <c r="E209" t="s">
        <v>17</v>
      </c>
      <c r="F209" t="s">
        <v>18</v>
      </c>
      <c r="G209" t="s">
        <v>104</v>
      </c>
      <c r="H209" t="s">
        <v>36</v>
      </c>
      <c r="I209">
        <v>7935</v>
      </c>
      <c r="J209">
        <v>5</v>
      </c>
      <c r="K209">
        <v>3.3</v>
      </c>
      <c r="L209">
        <v>3</v>
      </c>
      <c r="M209" t="s">
        <v>65</v>
      </c>
    </row>
    <row r="210" spans="1:13">
      <c r="A210" t="s">
        <v>457</v>
      </c>
      <c r="B210" t="s">
        <v>458</v>
      </c>
      <c r="C210" t="s">
        <v>133</v>
      </c>
      <c r="D210" t="s">
        <v>79</v>
      </c>
      <c r="E210" t="s">
        <v>26</v>
      </c>
      <c r="F210" t="s">
        <v>18</v>
      </c>
      <c r="G210" t="s">
        <v>28</v>
      </c>
      <c r="H210" t="s">
        <v>36</v>
      </c>
      <c r="I210">
        <v>28254</v>
      </c>
      <c r="J210">
        <v>6</v>
      </c>
      <c r="K210">
        <v>3.3</v>
      </c>
      <c r="L210">
        <v>2</v>
      </c>
      <c r="M210" t="s">
        <v>80</v>
      </c>
    </row>
    <row r="211" spans="1:13">
      <c r="A211" t="s">
        <v>459</v>
      </c>
      <c r="B211" t="s">
        <v>460</v>
      </c>
      <c r="C211" t="s">
        <v>24</v>
      </c>
      <c r="D211" t="s">
        <v>34</v>
      </c>
      <c r="E211" t="s">
        <v>35</v>
      </c>
      <c r="F211" t="s">
        <v>53</v>
      </c>
      <c r="G211" t="s">
        <v>19</v>
      </c>
      <c r="H211" t="s">
        <v>29</v>
      </c>
      <c r="I211">
        <v>3987</v>
      </c>
      <c r="J211">
        <v>1</v>
      </c>
      <c r="K211">
        <v>4.9000000000000004</v>
      </c>
      <c r="L211">
        <v>5</v>
      </c>
      <c r="M211" t="s">
        <v>80</v>
      </c>
    </row>
    <row r="212" spans="1:13">
      <c r="A212" t="s">
        <v>461</v>
      </c>
      <c r="B212" t="s">
        <v>462</v>
      </c>
      <c r="C212" t="s">
        <v>146</v>
      </c>
      <c r="D212" t="s">
        <v>16</v>
      </c>
      <c r="E212" t="s">
        <v>17</v>
      </c>
      <c r="F212" t="s">
        <v>100</v>
      </c>
      <c r="G212" t="s">
        <v>104</v>
      </c>
      <c r="H212" t="s">
        <v>36</v>
      </c>
      <c r="I212">
        <v>5999</v>
      </c>
      <c r="J212">
        <v>7</v>
      </c>
      <c r="K212">
        <v>4.3</v>
      </c>
      <c r="L212">
        <v>8</v>
      </c>
      <c r="M212" t="s">
        <v>126</v>
      </c>
    </row>
    <row r="213" spans="1:13">
      <c r="A213" t="s">
        <v>463</v>
      </c>
      <c r="B213" t="s">
        <v>334</v>
      </c>
      <c r="C213" t="s">
        <v>33</v>
      </c>
      <c r="D213" t="s">
        <v>159</v>
      </c>
      <c r="E213" t="s">
        <v>42</v>
      </c>
      <c r="F213" t="s">
        <v>18</v>
      </c>
      <c r="G213" t="s">
        <v>19</v>
      </c>
      <c r="H213" t="s">
        <v>36</v>
      </c>
      <c r="I213">
        <v>4932</v>
      </c>
      <c r="J213">
        <v>3</v>
      </c>
      <c r="K213">
        <v>4.5</v>
      </c>
      <c r="L213">
        <v>1</v>
      </c>
      <c r="M213" t="s">
        <v>55</v>
      </c>
    </row>
    <row r="214" spans="1:13">
      <c r="A214" t="s">
        <v>464</v>
      </c>
      <c r="B214" t="s">
        <v>352</v>
      </c>
      <c r="C214" t="s">
        <v>170</v>
      </c>
      <c r="D214" t="s">
        <v>46</v>
      </c>
      <c r="E214" t="s">
        <v>42</v>
      </c>
      <c r="F214" t="s">
        <v>53</v>
      </c>
      <c r="G214" t="s">
        <v>54</v>
      </c>
      <c r="H214" t="s">
        <v>29</v>
      </c>
      <c r="I214">
        <v>12405</v>
      </c>
      <c r="J214">
        <v>3</v>
      </c>
      <c r="K214">
        <v>3.8</v>
      </c>
      <c r="L214">
        <v>7</v>
      </c>
      <c r="M214" t="s">
        <v>55</v>
      </c>
    </row>
    <row r="215" spans="1:13">
      <c r="A215" t="s">
        <v>465</v>
      </c>
      <c r="B215" t="s">
        <v>393</v>
      </c>
      <c r="C215" t="s">
        <v>170</v>
      </c>
      <c r="D215" t="s">
        <v>16</v>
      </c>
      <c r="E215" t="s">
        <v>17</v>
      </c>
      <c r="F215" t="s">
        <v>18</v>
      </c>
      <c r="G215" t="s">
        <v>28</v>
      </c>
      <c r="H215" t="s">
        <v>36</v>
      </c>
      <c r="I215">
        <v>5424</v>
      </c>
      <c r="J215">
        <v>4</v>
      </c>
      <c r="K215">
        <v>4.8</v>
      </c>
      <c r="L215">
        <v>5</v>
      </c>
      <c r="M215" t="s">
        <v>37</v>
      </c>
    </row>
    <row r="216" spans="1:13">
      <c r="A216" t="s">
        <v>466</v>
      </c>
      <c r="B216" t="s">
        <v>402</v>
      </c>
      <c r="C216" t="s">
        <v>78</v>
      </c>
      <c r="D216" t="s">
        <v>34</v>
      </c>
      <c r="E216" t="s">
        <v>35</v>
      </c>
      <c r="F216" t="s">
        <v>83</v>
      </c>
      <c r="G216" t="s">
        <v>19</v>
      </c>
      <c r="H216" t="s">
        <v>36</v>
      </c>
      <c r="I216">
        <v>316535</v>
      </c>
      <c r="J216">
        <v>5</v>
      </c>
      <c r="K216">
        <v>4.9000000000000004</v>
      </c>
      <c r="L216">
        <v>4</v>
      </c>
      <c r="M216" t="s">
        <v>21</v>
      </c>
    </row>
    <row r="217" spans="1:13">
      <c r="A217" t="s">
        <v>467</v>
      </c>
      <c r="B217" t="s">
        <v>468</v>
      </c>
      <c r="C217" t="s">
        <v>68</v>
      </c>
      <c r="D217" t="s">
        <v>41</v>
      </c>
      <c r="E217" t="s">
        <v>42</v>
      </c>
      <c r="F217" t="s">
        <v>83</v>
      </c>
      <c r="G217" t="s">
        <v>19</v>
      </c>
      <c r="H217" t="s">
        <v>64</v>
      </c>
      <c r="I217">
        <v>4266</v>
      </c>
      <c r="J217">
        <v>6</v>
      </c>
      <c r="K217">
        <v>3.9</v>
      </c>
      <c r="L217">
        <v>5</v>
      </c>
      <c r="M217" t="s">
        <v>37</v>
      </c>
    </row>
    <row r="218" spans="1:13">
      <c r="A218" t="s">
        <v>469</v>
      </c>
      <c r="B218" t="s">
        <v>470</v>
      </c>
      <c r="C218" t="s">
        <v>146</v>
      </c>
      <c r="D218" t="s">
        <v>41</v>
      </c>
      <c r="E218" t="s">
        <v>42</v>
      </c>
      <c r="F218" t="s">
        <v>27</v>
      </c>
      <c r="G218" t="s">
        <v>54</v>
      </c>
      <c r="H218" t="s">
        <v>36</v>
      </c>
      <c r="I218">
        <v>24785</v>
      </c>
      <c r="J218">
        <v>5</v>
      </c>
      <c r="K218">
        <v>4.5</v>
      </c>
      <c r="L218">
        <v>6</v>
      </c>
      <c r="M218" t="s">
        <v>80</v>
      </c>
    </row>
    <row r="219" spans="1:13">
      <c r="A219" t="s">
        <v>471</v>
      </c>
      <c r="B219" t="s">
        <v>472</v>
      </c>
      <c r="C219" t="s">
        <v>50</v>
      </c>
      <c r="D219" t="s">
        <v>79</v>
      </c>
      <c r="E219" t="s">
        <v>26</v>
      </c>
      <c r="F219" t="s">
        <v>27</v>
      </c>
      <c r="G219" t="s">
        <v>104</v>
      </c>
      <c r="H219" t="s">
        <v>29</v>
      </c>
      <c r="I219">
        <v>32753</v>
      </c>
      <c r="J219">
        <v>7</v>
      </c>
      <c r="K219">
        <v>3.7</v>
      </c>
      <c r="L219">
        <v>6</v>
      </c>
      <c r="M219" t="s">
        <v>192</v>
      </c>
    </row>
    <row r="220" spans="1:13">
      <c r="A220" t="s">
        <v>473</v>
      </c>
      <c r="B220" t="s">
        <v>468</v>
      </c>
      <c r="C220" t="s">
        <v>146</v>
      </c>
      <c r="D220" t="s">
        <v>46</v>
      </c>
      <c r="E220" t="s">
        <v>42</v>
      </c>
      <c r="F220" t="s">
        <v>53</v>
      </c>
      <c r="G220" t="s">
        <v>28</v>
      </c>
      <c r="H220" t="s">
        <v>36</v>
      </c>
      <c r="I220">
        <v>3184</v>
      </c>
      <c r="J220">
        <v>2</v>
      </c>
      <c r="K220">
        <v>3.4</v>
      </c>
      <c r="L220">
        <v>8</v>
      </c>
      <c r="M220" t="s">
        <v>37</v>
      </c>
    </row>
    <row r="221" spans="1:13">
      <c r="A221" t="s">
        <v>474</v>
      </c>
      <c r="B221" t="s">
        <v>475</v>
      </c>
      <c r="C221" t="s">
        <v>45</v>
      </c>
      <c r="D221" t="s">
        <v>59</v>
      </c>
      <c r="E221" t="s">
        <v>26</v>
      </c>
      <c r="F221" t="s">
        <v>18</v>
      </c>
      <c r="G221" t="s">
        <v>19</v>
      </c>
      <c r="H221" t="s">
        <v>29</v>
      </c>
      <c r="I221">
        <v>18248</v>
      </c>
      <c r="J221">
        <v>8</v>
      </c>
      <c r="K221">
        <v>3.5</v>
      </c>
      <c r="L221">
        <v>5</v>
      </c>
      <c r="M221" t="s">
        <v>37</v>
      </c>
    </row>
    <row r="222" spans="1:13">
      <c r="A222" t="s">
        <v>476</v>
      </c>
      <c r="B222" t="s">
        <v>477</v>
      </c>
      <c r="C222" t="s">
        <v>15</v>
      </c>
      <c r="D222" t="s">
        <v>147</v>
      </c>
      <c r="E222" t="s">
        <v>52</v>
      </c>
      <c r="F222" t="s">
        <v>60</v>
      </c>
      <c r="G222" t="s">
        <v>28</v>
      </c>
      <c r="H222" t="s">
        <v>20</v>
      </c>
      <c r="I222">
        <v>7492</v>
      </c>
      <c r="J222">
        <v>4</v>
      </c>
      <c r="K222">
        <v>3.7</v>
      </c>
      <c r="L222">
        <v>3</v>
      </c>
      <c r="M222" t="s">
        <v>119</v>
      </c>
    </row>
    <row r="223" spans="1:13">
      <c r="A223" t="s">
        <v>478</v>
      </c>
      <c r="B223" t="s">
        <v>183</v>
      </c>
      <c r="C223" t="s">
        <v>129</v>
      </c>
      <c r="D223" t="s">
        <v>116</v>
      </c>
      <c r="E223" t="s">
        <v>17</v>
      </c>
      <c r="F223" t="s">
        <v>27</v>
      </c>
      <c r="G223" t="s">
        <v>54</v>
      </c>
      <c r="H223" t="s">
        <v>29</v>
      </c>
      <c r="I223">
        <v>1644</v>
      </c>
      <c r="J223">
        <v>3</v>
      </c>
      <c r="K223">
        <v>3.6</v>
      </c>
      <c r="L223">
        <v>7</v>
      </c>
      <c r="M223" t="s">
        <v>87</v>
      </c>
    </row>
    <row r="224" spans="1:13">
      <c r="A224" t="s">
        <v>479</v>
      </c>
      <c r="B224" t="s">
        <v>480</v>
      </c>
      <c r="C224" t="s">
        <v>33</v>
      </c>
      <c r="D224" t="s">
        <v>16</v>
      </c>
      <c r="E224" t="s">
        <v>17</v>
      </c>
      <c r="F224" t="s">
        <v>83</v>
      </c>
      <c r="G224" t="s">
        <v>28</v>
      </c>
      <c r="H224" t="s">
        <v>64</v>
      </c>
      <c r="I224">
        <v>6488</v>
      </c>
      <c r="J224">
        <v>4</v>
      </c>
      <c r="K224">
        <v>3.4</v>
      </c>
      <c r="L224">
        <v>8</v>
      </c>
      <c r="M224" t="s">
        <v>87</v>
      </c>
    </row>
    <row r="225" spans="1:13">
      <c r="A225" t="s">
        <v>481</v>
      </c>
      <c r="B225" t="s">
        <v>482</v>
      </c>
      <c r="C225" t="s">
        <v>33</v>
      </c>
      <c r="D225" t="s">
        <v>41</v>
      </c>
      <c r="E225" t="s">
        <v>42</v>
      </c>
      <c r="F225" t="s">
        <v>100</v>
      </c>
      <c r="G225" t="s">
        <v>19</v>
      </c>
      <c r="H225" t="s">
        <v>29</v>
      </c>
      <c r="I225">
        <v>15631</v>
      </c>
      <c r="J225">
        <v>7</v>
      </c>
      <c r="K225">
        <v>3.7</v>
      </c>
      <c r="L225">
        <v>3</v>
      </c>
      <c r="M225" t="s">
        <v>55</v>
      </c>
    </row>
    <row r="226" spans="1:13">
      <c r="A226" t="s">
        <v>483</v>
      </c>
      <c r="B226" t="s">
        <v>344</v>
      </c>
      <c r="C226" t="s">
        <v>78</v>
      </c>
      <c r="D226" t="s">
        <v>90</v>
      </c>
      <c r="E226" t="s">
        <v>42</v>
      </c>
      <c r="F226" t="s">
        <v>18</v>
      </c>
      <c r="G226" t="s">
        <v>28</v>
      </c>
      <c r="H226" t="s">
        <v>29</v>
      </c>
      <c r="I226">
        <v>30696</v>
      </c>
      <c r="J226">
        <v>8</v>
      </c>
      <c r="K226">
        <v>4</v>
      </c>
      <c r="L226">
        <v>4</v>
      </c>
      <c r="M226" t="s">
        <v>30</v>
      </c>
    </row>
    <row r="227" spans="1:13">
      <c r="A227" t="s">
        <v>484</v>
      </c>
      <c r="B227" t="s">
        <v>485</v>
      </c>
      <c r="C227" t="s">
        <v>103</v>
      </c>
      <c r="D227" t="s">
        <v>90</v>
      </c>
      <c r="E227" t="s">
        <v>42</v>
      </c>
      <c r="F227" t="s">
        <v>18</v>
      </c>
      <c r="G227" t="s">
        <v>28</v>
      </c>
      <c r="H227" t="s">
        <v>29</v>
      </c>
      <c r="I227">
        <v>5478</v>
      </c>
      <c r="J227">
        <v>6</v>
      </c>
      <c r="K227">
        <v>4.3</v>
      </c>
      <c r="L227">
        <v>1</v>
      </c>
      <c r="M227" t="s">
        <v>126</v>
      </c>
    </row>
    <row r="228" spans="1:13">
      <c r="A228" t="s">
        <v>486</v>
      </c>
      <c r="B228" t="s">
        <v>487</v>
      </c>
      <c r="C228" t="s">
        <v>58</v>
      </c>
      <c r="D228" t="s">
        <v>79</v>
      </c>
      <c r="E228" t="s">
        <v>26</v>
      </c>
      <c r="F228" t="s">
        <v>60</v>
      </c>
      <c r="G228" t="s">
        <v>104</v>
      </c>
      <c r="H228" t="s">
        <v>20</v>
      </c>
      <c r="I228">
        <v>3432</v>
      </c>
      <c r="J228">
        <v>2</v>
      </c>
      <c r="K228">
        <v>4.5999999999999996</v>
      </c>
      <c r="L228">
        <v>4</v>
      </c>
      <c r="M228" t="s">
        <v>80</v>
      </c>
    </row>
    <row r="229" spans="1:13">
      <c r="A229" t="s">
        <v>488</v>
      </c>
      <c r="B229" t="s">
        <v>489</v>
      </c>
      <c r="C229" t="s">
        <v>58</v>
      </c>
      <c r="D229" t="s">
        <v>63</v>
      </c>
      <c r="E229" t="s">
        <v>52</v>
      </c>
      <c r="F229" t="s">
        <v>83</v>
      </c>
      <c r="G229" t="s">
        <v>28</v>
      </c>
      <c r="H229" t="s">
        <v>29</v>
      </c>
      <c r="I229">
        <v>10314</v>
      </c>
      <c r="J229">
        <v>6</v>
      </c>
      <c r="K229">
        <v>4.9000000000000004</v>
      </c>
      <c r="L229">
        <v>3</v>
      </c>
      <c r="M229" t="s">
        <v>30</v>
      </c>
    </row>
    <row r="230" spans="1:13">
      <c r="A230" t="s">
        <v>490</v>
      </c>
      <c r="B230" t="s">
        <v>491</v>
      </c>
      <c r="C230" t="s">
        <v>170</v>
      </c>
      <c r="D230" t="s">
        <v>51</v>
      </c>
      <c r="E230" t="s">
        <v>52</v>
      </c>
      <c r="F230" t="s">
        <v>100</v>
      </c>
      <c r="G230" t="s">
        <v>19</v>
      </c>
      <c r="H230" t="s">
        <v>20</v>
      </c>
      <c r="I230">
        <v>2404</v>
      </c>
      <c r="J230">
        <v>2</v>
      </c>
      <c r="K230">
        <v>4.0999999999999996</v>
      </c>
      <c r="L230">
        <v>1</v>
      </c>
      <c r="M230" t="s">
        <v>144</v>
      </c>
    </row>
    <row r="231" spans="1:13">
      <c r="A231" t="s">
        <v>492</v>
      </c>
      <c r="B231" t="s">
        <v>493</v>
      </c>
      <c r="C231" t="s">
        <v>75</v>
      </c>
      <c r="D231" t="s">
        <v>34</v>
      </c>
      <c r="E231" t="s">
        <v>35</v>
      </c>
      <c r="F231" t="s">
        <v>53</v>
      </c>
      <c r="G231" t="s">
        <v>28</v>
      </c>
      <c r="H231" t="s">
        <v>36</v>
      </c>
      <c r="I231">
        <v>79388</v>
      </c>
      <c r="J231">
        <v>1</v>
      </c>
      <c r="K231">
        <v>4.7</v>
      </c>
      <c r="L231">
        <v>6</v>
      </c>
      <c r="M231" t="s">
        <v>126</v>
      </c>
    </row>
    <row r="232" spans="1:13">
      <c r="A232" t="s">
        <v>494</v>
      </c>
      <c r="B232" t="s">
        <v>493</v>
      </c>
      <c r="C232" t="s">
        <v>122</v>
      </c>
      <c r="D232" t="s">
        <v>130</v>
      </c>
      <c r="E232" t="s">
        <v>35</v>
      </c>
      <c r="F232" t="s">
        <v>27</v>
      </c>
      <c r="G232" t="s">
        <v>19</v>
      </c>
      <c r="H232" t="s">
        <v>64</v>
      </c>
      <c r="I232">
        <v>199074</v>
      </c>
      <c r="J232">
        <v>3</v>
      </c>
      <c r="K232">
        <v>4.5</v>
      </c>
      <c r="L232">
        <v>6</v>
      </c>
      <c r="M232" t="s">
        <v>126</v>
      </c>
    </row>
    <row r="233" spans="1:13">
      <c r="A233" t="s">
        <v>495</v>
      </c>
      <c r="B233" t="s">
        <v>77</v>
      </c>
      <c r="C233" t="s">
        <v>45</v>
      </c>
      <c r="D233" t="s">
        <v>130</v>
      </c>
      <c r="E233" t="s">
        <v>35</v>
      </c>
      <c r="F233" t="s">
        <v>83</v>
      </c>
      <c r="G233" t="s">
        <v>54</v>
      </c>
      <c r="H233" t="s">
        <v>64</v>
      </c>
      <c r="I233">
        <v>232746</v>
      </c>
      <c r="J233">
        <v>3</v>
      </c>
      <c r="K233">
        <v>3.3</v>
      </c>
      <c r="L233">
        <v>6</v>
      </c>
      <c r="M233" t="s">
        <v>80</v>
      </c>
    </row>
    <row r="234" spans="1:13">
      <c r="A234" t="s">
        <v>496</v>
      </c>
      <c r="B234" t="s">
        <v>263</v>
      </c>
      <c r="C234" t="s">
        <v>146</v>
      </c>
      <c r="D234" t="s">
        <v>109</v>
      </c>
      <c r="E234" t="s">
        <v>52</v>
      </c>
      <c r="F234" t="s">
        <v>18</v>
      </c>
      <c r="G234" t="s">
        <v>104</v>
      </c>
      <c r="H234" t="s">
        <v>20</v>
      </c>
      <c r="I234">
        <v>6232</v>
      </c>
      <c r="J234">
        <v>4</v>
      </c>
      <c r="K234">
        <v>4.7</v>
      </c>
      <c r="L234">
        <v>6</v>
      </c>
      <c r="M234" t="s">
        <v>87</v>
      </c>
    </row>
    <row r="235" spans="1:13">
      <c r="A235" t="s">
        <v>497</v>
      </c>
      <c r="B235" t="s">
        <v>450</v>
      </c>
      <c r="C235" t="s">
        <v>133</v>
      </c>
      <c r="D235" t="s">
        <v>147</v>
      </c>
      <c r="E235" t="s">
        <v>52</v>
      </c>
      <c r="F235" t="s">
        <v>60</v>
      </c>
      <c r="G235" t="s">
        <v>28</v>
      </c>
      <c r="H235" t="s">
        <v>29</v>
      </c>
      <c r="I235">
        <v>1275</v>
      </c>
      <c r="J235">
        <v>5</v>
      </c>
      <c r="K235">
        <v>4.5</v>
      </c>
      <c r="L235">
        <v>3</v>
      </c>
      <c r="M235" t="s">
        <v>126</v>
      </c>
    </row>
    <row r="236" spans="1:13">
      <c r="A236" t="s">
        <v>498</v>
      </c>
      <c r="B236" t="s">
        <v>181</v>
      </c>
      <c r="C236" t="s">
        <v>40</v>
      </c>
      <c r="D236" t="s">
        <v>69</v>
      </c>
      <c r="E236" t="s">
        <v>26</v>
      </c>
      <c r="F236" t="s">
        <v>18</v>
      </c>
      <c r="G236" t="s">
        <v>104</v>
      </c>
      <c r="H236" t="s">
        <v>29</v>
      </c>
      <c r="I236">
        <v>16056</v>
      </c>
      <c r="J236">
        <v>8</v>
      </c>
      <c r="K236">
        <v>4.5999999999999996</v>
      </c>
      <c r="L236">
        <v>1</v>
      </c>
      <c r="M236" t="s">
        <v>87</v>
      </c>
    </row>
    <row r="237" spans="1:13">
      <c r="A237" t="s">
        <v>499</v>
      </c>
      <c r="B237" t="s">
        <v>420</v>
      </c>
      <c r="C237" t="s">
        <v>15</v>
      </c>
      <c r="D237" t="s">
        <v>16</v>
      </c>
      <c r="E237" t="s">
        <v>17</v>
      </c>
      <c r="F237" t="s">
        <v>60</v>
      </c>
      <c r="G237" t="s">
        <v>19</v>
      </c>
      <c r="H237" t="s">
        <v>64</v>
      </c>
      <c r="I237">
        <v>3204</v>
      </c>
      <c r="J237">
        <v>3</v>
      </c>
      <c r="K237">
        <v>3.8</v>
      </c>
      <c r="L237">
        <v>8</v>
      </c>
      <c r="M237" t="s">
        <v>126</v>
      </c>
    </row>
    <row r="238" spans="1:13">
      <c r="A238" t="s">
        <v>500</v>
      </c>
      <c r="B238" t="s">
        <v>181</v>
      </c>
      <c r="C238" t="s">
        <v>40</v>
      </c>
      <c r="D238" t="s">
        <v>147</v>
      </c>
      <c r="E238" t="s">
        <v>52</v>
      </c>
      <c r="F238" t="s">
        <v>83</v>
      </c>
      <c r="G238" t="s">
        <v>54</v>
      </c>
      <c r="H238" t="s">
        <v>36</v>
      </c>
      <c r="I238">
        <v>6168</v>
      </c>
      <c r="J238">
        <v>6</v>
      </c>
      <c r="K238">
        <v>3.7</v>
      </c>
      <c r="L238">
        <v>5</v>
      </c>
      <c r="M238" t="s">
        <v>87</v>
      </c>
    </row>
    <row r="239" spans="1:13">
      <c r="A239" t="s">
        <v>501</v>
      </c>
      <c r="B239" t="s">
        <v>356</v>
      </c>
      <c r="C239" t="s">
        <v>179</v>
      </c>
      <c r="D239" t="s">
        <v>90</v>
      </c>
      <c r="E239" t="s">
        <v>42</v>
      </c>
      <c r="F239" t="s">
        <v>18</v>
      </c>
      <c r="G239" t="s">
        <v>54</v>
      </c>
      <c r="H239" t="s">
        <v>20</v>
      </c>
      <c r="I239">
        <v>1417</v>
      </c>
      <c r="J239">
        <v>1</v>
      </c>
      <c r="K239">
        <v>4.7</v>
      </c>
      <c r="L239">
        <v>8</v>
      </c>
      <c r="M239" t="s">
        <v>80</v>
      </c>
    </row>
    <row r="240" spans="1:13">
      <c r="A240" t="s">
        <v>502</v>
      </c>
      <c r="B240" t="s">
        <v>503</v>
      </c>
      <c r="C240" t="s">
        <v>75</v>
      </c>
      <c r="D240" t="s">
        <v>109</v>
      </c>
      <c r="E240" t="s">
        <v>52</v>
      </c>
      <c r="F240" t="s">
        <v>27</v>
      </c>
      <c r="G240" t="s">
        <v>28</v>
      </c>
      <c r="H240" t="s">
        <v>20</v>
      </c>
      <c r="I240">
        <v>12104</v>
      </c>
      <c r="J240">
        <v>8</v>
      </c>
      <c r="K240">
        <v>4.8</v>
      </c>
      <c r="L240">
        <v>5</v>
      </c>
      <c r="M240" t="s">
        <v>87</v>
      </c>
    </row>
    <row r="241" spans="1:13">
      <c r="A241" t="s">
        <v>504</v>
      </c>
      <c r="B241" t="s">
        <v>505</v>
      </c>
      <c r="C241" t="s">
        <v>58</v>
      </c>
      <c r="D241" t="s">
        <v>97</v>
      </c>
      <c r="E241" t="s">
        <v>35</v>
      </c>
      <c r="F241" t="s">
        <v>18</v>
      </c>
      <c r="G241" t="s">
        <v>19</v>
      </c>
      <c r="H241" t="s">
        <v>36</v>
      </c>
      <c r="I241">
        <v>111030</v>
      </c>
      <c r="J241">
        <v>3</v>
      </c>
      <c r="K241">
        <v>3.7</v>
      </c>
      <c r="L241">
        <v>5</v>
      </c>
      <c r="M241" t="s">
        <v>55</v>
      </c>
    </row>
    <row r="242" spans="1:13">
      <c r="A242" t="s">
        <v>506</v>
      </c>
      <c r="B242" t="s">
        <v>507</v>
      </c>
      <c r="C242" t="s">
        <v>78</v>
      </c>
      <c r="D242" t="s">
        <v>218</v>
      </c>
      <c r="E242" t="s">
        <v>17</v>
      </c>
      <c r="F242" t="s">
        <v>27</v>
      </c>
      <c r="G242" t="s">
        <v>28</v>
      </c>
      <c r="H242" t="s">
        <v>20</v>
      </c>
      <c r="I242">
        <v>10549</v>
      </c>
      <c r="J242">
        <v>7</v>
      </c>
      <c r="K242">
        <v>4.7</v>
      </c>
      <c r="L242">
        <v>7</v>
      </c>
      <c r="M242" t="s">
        <v>30</v>
      </c>
    </row>
    <row r="243" spans="1:13">
      <c r="A243" t="s">
        <v>508</v>
      </c>
      <c r="B243" t="s">
        <v>290</v>
      </c>
      <c r="C243" t="s">
        <v>68</v>
      </c>
      <c r="D243" t="s">
        <v>46</v>
      </c>
      <c r="E243" t="s">
        <v>42</v>
      </c>
      <c r="F243" t="s">
        <v>60</v>
      </c>
      <c r="G243" t="s">
        <v>19</v>
      </c>
      <c r="H243" t="s">
        <v>20</v>
      </c>
      <c r="I243">
        <v>37653</v>
      </c>
      <c r="J243">
        <v>7</v>
      </c>
      <c r="K243">
        <v>4.5999999999999996</v>
      </c>
      <c r="L243">
        <v>3</v>
      </c>
      <c r="M243" t="s">
        <v>87</v>
      </c>
    </row>
    <row r="244" spans="1:13">
      <c r="A244" t="s">
        <v>509</v>
      </c>
      <c r="B244" t="s">
        <v>510</v>
      </c>
      <c r="C244" t="s">
        <v>170</v>
      </c>
      <c r="D244" t="s">
        <v>63</v>
      </c>
      <c r="E244" t="s">
        <v>52</v>
      </c>
      <c r="F244" t="s">
        <v>27</v>
      </c>
      <c r="G244" t="s">
        <v>54</v>
      </c>
      <c r="H244" t="s">
        <v>36</v>
      </c>
      <c r="I244">
        <v>570</v>
      </c>
      <c r="J244">
        <v>1</v>
      </c>
      <c r="K244">
        <v>3.5</v>
      </c>
      <c r="L244">
        <v>5</v>
      </c>
      <c r="M244" t="s">
        <v>80</v>
      </c>
    </row>
    <row r="245" spans="1:13">
      <c r="A245" t="s">
        <v>511</v>
      </c>
      <c r="B245" t="s">
        <v>39</v>
      </c>
      <c r="C245" t="s">
        <v>68</v>
      </c>
      <c r="D245" t="s">
        <v>90</v>
      </c>
      <c r="E245" t="s">
        <v>42</v>
      </c>
      <c r="F245" t="s">
        <v>60</v>
      </c>
      <c r="G245" t="s">
        <v>19</v>
      </c>
      <c r="H245" t="s">
        <v>20</v>
      </c>
      <c r="I245">
        <v>4806</v>
      </c>
      <c r="J245">
        <v>6</v>
      </c>
      <c r="K245">
        <v>4.3</v>
      </c>
      <c r="L245">
        <v>7</v>
      </c>
      <c r="M245" t="s">
        <v>30</v>
      </c>
    </row>
    <row r="246" spans="1:13">
      <c r="A246" t="s">
        <v>512</v>
      </c>
      <c r="B246" t="s">
        <v>111</v>
      </c>
      <c r="C246" t="s">
        <v>58</v>
      </c>
      <c r="D246" t="s">
        <v>25</v>
      </c>
      <c r="E246" t="s">
        <v>26</v>
      </c>
      <c r="F246" t="s">
        <v>100</v>
      </c>
      <c r="G246" t="s">
        <v>28</v>
      </c>
      <c r="H246" t="s">
        <v>36</v>
      </c>
      <c r="I246">
        <v>10254</v>
      </c>
      <c r="J246">
        <v>2</v>
      </c>
      <c r="K246">
        <v>3.9</v>
      </c>
      <c r="L246">
        <v>8</v>
      </c>
      <c r="M246" t="s">
        <v>87</v>
      </c>
    </row>
    <row r="247" spans="1:13">
      <c r="A247" t="s">
        <v>513</v>
      </c>
      <c r="B247" t="s">
        <v>514</v>
      </c>
      <c r="C247" t="s">
        <v>125</v>
      </c>
      <c r="D247" t="s">
        <v>109</v>
      </c>
      <c r="E247" t="s">
        <v>52</v>
      </c>
      <c r="F247" t="s">
        <v>53</v>
      </c>
      <c r="G247" t="s">
        <v>104</v>
      </c>
      <c r="H247" t="s">
        <v>36</v>
      </c>
      <c r="I247">
        <v>5685</v>
      </c>
      <c r="J247">
        <v>3</v>
      </c>
      <c r="K247">
        <v>4.4000000000000004</v>
      </c>
      <c r="L247">
        <v>1</v>
      </c>
      <c r="M247" t="s">
        <v>55</v>
      </c>
    </row>
    <row r="248" spans="1:13">
      <c r="A248" t="s">
        <v>515</v>
      </c>
      <c r="B248" t="s">
        <v>516</v>
      </c>
      <c r="C248" t="s">
        <v>170</v>
      </c>
      <c r="D248" t="s">
        <v>130</v>
      </c>
      <c r="E248" t="s">
        <v>35</v>
      </c>
      <c r="F248" t="s">
        <v>53</v>
      </c>
      <c r="G248" t="s">
        <v>28</v>
      </c>
      <c r="H248" t="s">
        <v>36</v>
      </c>
      <c r="I248">
        <v>161890</v>
      </c>
      <c r="J248">
        <v>5</v>
      </c>
      <c r="K248">
        <v>5</v>
      </c>
      <c r="L248">
        <v>8</v>
      </c>
      <c r="M248" t="s">
        <v>126</v>
      </c>
    </row>
    <row r="249" spans="1:13">
      <c r="A249" t="s">
        <v>517</v>
      </c>
      <c r="B249" t="s">
        <v>57</v>
      </c>
      <c r="C249" t="s">
        <v>40</v>
      </c>
      <c r="D249" t="s">
        <v>51</v>
      </c>
      <c r="E249" t="s">
        <v>52</v>
      </c>
      <c r="F249" t="s">
        <v>27</v>
      </c>
      <c r="G249" t="s">
        <v>28</v>
      </c>
      <c r="H249" t="s">
        <v>20</v>
      </c>
      <c r="I249">
        <v>16555</v>
      </c>
      <c r="J249">
        <v>7</v>
      </c>
      <c r="K249">
        <v>4.5999999999999996</v>
      </c>
      <c r="L249">
        <v>2</v>
      </c>
      <c r="M249" t="s">
        <v>37</v>
      </c>
    </row>
    <row r="250" spans="1:13">
      <c r="A250" t="s">
        <v>518</v>
      </c>
      <c r="B250" t="s">
        <v>519</v>
      </c>
      <c r="C250" t="s">
        <v>179</v>
      </c>
      <c r="D250" t="s">
        <v>25</v>
      </c>
      <c r="E250" t="s">
        <v>26</v>
      </c>
      <c r="F250" t="s">
        <v>53</v>
      </c>
      <c r="G250" t="s">
        <v>104</v>
      </c>
      <c r="H250" t="s">
        <v>64</v>
      </c>
      <c r="I250">
        <v>33112</v>
      </c>
      <c r="J250">
        <v>4</v>
      </c>
      <c r="K250">
        <v>3.3</v>
      </c>
      <c r="L250">
        <v>6</v>
      </c>
      <c r="M250" t="s">
        <v>80</v>
      </c>
    </row>
    <row r="251" spans="1:13">
      <c r="A251" t="s">
        <v>520</v>
      </c>
      <c r="B251" t="s">
        <v>521</v>
      </c>
      <c r="C251" t="s">
        <v>125</v>
      </c>
      <c r="D251" t="s">
        <v>69</v>
      </c>
      <c r="E251" t="s">
        <v>26</v>
      </c>
      <c r="F251" t="s">
        <v>100</v>
      </c>
      <c r="G251" t="s">
        <v>104</v>
      </c>
      <c r="H251" t="s">
        <v>29</v>
      </c>
      <c r="I251">
        <v>17616</v>
      </c>
      <c r="J251">
        <v>2</v>
      </c>
      <c r="K251">
        <v>4.3</v>
      </c>
      <c r="L251">
        <v>3</v>
      </c>
      <c r="M251" t="s">
        <v>192</v>
      </c>
    </row>
    <row r="252" spans="1:13">
      <c r="A252" t="s">
        <v>522</v>
      </c>
      <c r="B252" t="s">
        <v>523</v>
      </c>
      <c r="C252" t="s">
        <v>122</v>
      </c>
      <c r="D252" t="s">
        <v>109</v>
      </c>
      <c r="E252" t="s">
        <v>52</v>
      </c>
      <c r="F252" t="s">
        <v>27</v>
      </c>
      <c r="G252" t="s">
        <v>19</v>
      </c>
      <c r="H252" t="s">
        <v>20</v>
      </c>
      <c r="I252">
        <v>724</v>
      </c>
      <c r="J252">
        <v>2</v>
      </c>
      <c r="K252">
        <v>4.7</v>
      </c>
      <c r="L252">
        <v>4</v>
      </c>
      <c r="M252" t="s">
        <v>119</v>
      </c>
    </row>
    <row r="253" spans="1:13">
      <c r="A253" t="s">
        <v>524</v>
      </c>
      <c r="B253" t="s">
        <v>525</v>
      </c>
      <c r="C253" t="s">
        <v>122</v>
      </c>
      <c r="D253" t="s">
        <v>97</v>
      </c>
      <c r="E253" t="s">
        <v>35</v>
      </c>
      <c r="F253" t="s">
        <v>53</v>
      </c>
      <c r="G253" t="s">
        <v>104</v>
      </c>
      <c r="H253" t="s">
        <v>29</v>
      </c>
      <c r="I253">
        <v>64640</v>
      </c>
      <c r="J253">
        <v>1</v>
      </c>
      <c r="K253">
        <v>3.5</v>
      </c>
      <c r="L253">
        <v>1</v>
      </c>
      <c r="M253" t="s">
        <v>65</v>
      </c>
    </row>
    <row r="254" spans="1:13">
      <c r="A254" t="s">
        <v>526</v>
      </c>
      <c r="B254" t="s">
        <v>527</v>
      </c>
      <c r="C254" t="s">
        <v>58</v>
      </c>
      <c r="D254" t="s">
        <v>90</v>
      </c>
      <c r="E254" t="s">
        <v>42</v>
      </c>
      <c r="F254" t="s">
        <v>18</v>
      </c>
      <c r="G254" t="s">
        <v>54</v>
      </c>
      <c r="H254" t="s">
        <v>29</v>
      </c>
      <c r="I254">
        <v>25400</v>
      </c>
      <c r="J254">
        <v>8</v>
      </c>
      <c r="K254">
        <v>4.0999999999999996</v>
      </c>
      <c r="L254">
        <v>7</v>
      </c>
      <c r="M254" t="s">
        <v>126</v>
      </c>
    </row>
    <row r="255" spans="1:13">
      <c r="A255" t="s">
        <v>528</v>
      </c>
      <c r="B255" t="s">
        <v>187</v>
      </c>
      <c r="C255" t="s">
        <v>103</v>
      </c>
      <c r="D255" t="s">
        <v>59</v>
      </c>
      <c r="E255" t="s">
        <v>26</v>
      </c>
      <c r="F255" t="s">
        <v>27</v>
      </c>
      <c r="G255" t="s">
        <v>104</v>
      </c>
      <c r="H255" t="s">
        <v>20</v>
      </c>
      <c r="I255">
        <v>22590</v>
      </c>
      <c r="J255">
        <v>2</v>
      </c>
      <c r="K255">
        <v>3.8</v>
      </c>
      <c r="L255">
        <v>5</v>
      </c>
      <c r="M255" t="s">
        <v>126</v>
      </c>
    </row>
    <row r="256" spans="1:13">
      <c r="A256" t="s">
        <v>529</v>
      </c>
      <c r="B256" t="s">
        <v>530</v>
      </c>
      <c r="C256" t="s">
        <v>103</v>
      </c>
      <c r="D256" t="s">
        <v>63</v>
      </c>
      <c r="E256" t="s">
        <v>52</v>
      </c>
      <c r="F256" t="s">
        <v>60</v>
      </c>
      <c r="G256" t="s">
        <v>28</v>
      </c>
      <c r="H256" t="s">
        <v>64</v>
      </c>
      <c r="I256">
        <v>10913</v>
      </c>
      <c r="J256">
        <v>7</v>
      </c>
      <c r="K256">
        <v>4.0999999999999996</v>
      </c>
      <c r="L256">
        <v>5</v>
      </c>
      <c r="M256" t="s">
        <v>144</v>
      </c>
    </row>
    <row r="257" spans="1:13">
      <c r="A257" t="s">
        <v>531</v>
      </c>
      <c r="B257" t="s">
        <v>420</v>
      </c>
      <c r="C257" t="s">
        <v>78</v>
      </c>
      <c r="D257" t="s">
        <v>86</v>
      </c>
      <c r="E257" t="s">
        <v>17</v>
      </c>
      <c r="F257" t="s">
        <v>83</v>
      </c>
      <c r="G257" t="s">
        <v>104</v>
      </c>
      <c r="H257" t="s">
        <v>36</v>
      </c>
      <c r="I257">
        <v>6820</v>
      </c>
      <c r="J257">
        <v>4</v>
      </c>
      <c r="K257">
        <v>3.7</v>
      </c>
      <c r="L257">
        <v>3</v>
      </c>
      <c r="M257" t="s">
        <v>126</v>
      </c>
    </row>
    <row r="258" spans="1:13">
      <c r="A258" t="s">
        <v>532</v>
      </c>
      <c r="B258" t="s">
        <v>533</v>
      </c>
      <c r="C258" t="s">
        <v>133</v>
      </c>
      <c r="D258" t="s">
        <v>159</v>
      </c>
      <c r="E258" t="s">
        <v>42</v>
      </c>
      <c r="F258" t="s">
        <v>53</v>
      </c>
      <c r="G258" t="s">
        <v>104</v>
      </c>
      <c r="H258" t="s">
        <v>29</v>
      </c>
      <c r="I258">
        <v>7560</v>
      </c>
      <c r="J258">
        <v>3</v>
      </c>
      <c r="K258">
        <v>3.6</v>
      </c>
      <c r="L258">
        <v>5</v>
      </c>
      <c r="M258" t="s">
        <v>21</v>
      </c>
    </row>
    <row r="259" spans="1:13">
      <c r="A259" t="s">
        <v>534</v>
      </c>
      <c r="B259" t="s">
        <v>172</v>
      </c>
      <c r="C259" t="s">
        <v>112</v>
      </c>
      <c r="D259" t="s">
        <v>59</v>
      </c>
      <c r="E259" t="s">
        <v>26</v>
      </c>
      <c r="F259" t="s">
        <v>18</v>
      </c>
      <c r="G259" t="s">
        <v>28</v>
      </c>
      <c r="H259" t="s">
        <v>29</v>
      </c>
      <c r="I259">
        <v>21936</v>
      </c>
      <c r="J259">
        <v>2</v>
      </c>
      <c r="K259">
        <v>3.3</v>
      </c>
      <c r="L259">
        <v>4</v>
      </c>
      <c r="M259" t="s">
        <v>47</v>
      </c>
    </row>
    <row r="260" spans="1:13">
      <c r="A260" t="s">
        <v>535</v>
      </c>
      <c r="B260" t="s">
        <v>536</v>
      </c>
      <c r="C260" t="s">
        <v>75</v>
      </c>
      <c r="D260" t="s">
        <v>41</v>
      </c>
      <c r="E260" t="s">
        <v>42</v>
      </c>
      <c r="F260" t="s">
        <v>60</v>
      </c>
      <c r="G260" t="s">
        <v>104</v>
      </c>
      <c r="H260" t="s">
        <v>20</v>
      </c>
      <c r="I260">
        <v>16092</v>
      </c>
      <c r="J260">
        <v>3</v>
      </c>
      <c r="K260">
        <v>3.5</v>
      </c>
      <c r="L260">
        <v>3</v>
      </c>
      <c r="M260" t="s">
        <v>80</v>
      </c>
    </row>
    <row r="261" spans="1:13">
      <c r="A261" t="s">
        <v>537</v>
      </c>
      <c r="B261" t="s">
        <v>538</v>
      </c>
      <c r="C261" t="s">
        <v>72</v>
      </c>
      <c r="D261" t="s">
        <v>113</v>
      </c>
      <c r="E261" t="s">
        <v>35</v>
      </c>
      <c r="F261" t="s">
        <v>100</v>
      </c>
      <c r="G261" t="s">
        <v>28</v>
      </c>
      <c r="H261" t="s">
        <v>64</v>
      </c>
      <c r="I261">
        <v>196792</v>
      </c>
      <c r="J261">
        <v>8</v>
      </c>
      <c r="K261">
        <v>4.0999999999999996</v>
      </c>
      <c r="L261">
        <v>2</v>
      </c>
      <c r="M261" t="s">
        <v>144</v>
      </c>
    </row>
    <row r="262" spans="1:13">
      <c r="A262" t="s">
        <v>539</v>
      </c>
      <c r="B262" t="s">
        <v>446</v>
      </c>
      <c r="C262" t="s">
        <v>112</v>
      </c>
      <c r="D262" t="s">
        <v>90</v>
      </c>
      <c r="E262" t="s">
        <v>42</v>
      </c>
      <c r="F262" t="s">
        <v>83</v>
      </c>
      <c r="G262" t="s">
        <v>54</v>
      </c>
      <c r="H262" t="s">
        <v>36</v>
      </c>
      <c r="I262">
        <v>16331</v>
      </c>
      <c r="J262">
        <v>7</v>
      </c>
      <c r="K262">
        <v>4.9000000000000004</v>
      </c>
      <c r="L262">
        <v>6</v>
      </c>
      <c r="M262" t="s">
        <v>65</v>
      </c>
    </row>
    <row r="263" spans="1:13">
      <c r="A263" t="s">
        <v>540</v>
      </c>
      <c r="B263" t="s">
        <v>199</v>
      </c>
      <c r="C263" t="s">
        <v>75</v>
      </c>
      <c r="D263" t="s">
        <v>63</v>
      </c>
      <c r="E263" t="s">
        <v>52</v>
      </c>
      <c r="F263" t="s">
        <v>18</v>
      </c>
      <c r="G263" t="s">
        <v>104</v>
      </c>
      <c r="H263" t="s">
        <v>29</v>
      </c>
      <c r="I263">
        <v>4668</v>
      </c>
      <c r="J263">
        <v>6</v>
      </c>
      <c r="K263">
        <v>4.3</v>
      </c>
      <c r="L263">
        <v>3</v>
      </c>
      <c r="M263" t="s">
        <v>119</v>
      </c>
    </row>
    <row r="264" spans="1:13">
      <c r="A264" t="s">
        <v>541</v>
      </c>
      <c r="B264" t="s">
        <v>391</v>
      </c>
      <c r="C264" t="s">
        <v>15</v>
      </c>
      <c r="D264" t="s">
        <v>46</v>
      </c>
      <c r="E264" t="s">
        <v>42</v>
      </c>
      <c r="F264" t="s">
        <v>83</v>
      </c>
      <c r="G264" t="s">
        <v>19</v>
      </c>
      <c r="H264" t="s">
        <v>20</v>
      </c>
      <c r="I264">
        <v>6729</v>
      </c>
      <c r="J264">
        <v>3</v>
      </c>
      <c r="K264">
        <v>4.9000000000000004</v>
      </c>
      <c r="L264">
        <v>7</v>
      </c>
      <c r="M264" t="s">
        <v>47</v>
      </c>
    </row>
    <row r="265" spans="1:13">
      <c r="A265" t="s">
        <v>542</v>
      </c>
      <c r="B265" t="s">
        <v>543</v>
      </c>
      <c r="C265" t="s">
        <v>45</v>
      </c>
      <c r="D265" t="s">
        <v>147</v>
      </c>
      <c r="E265" t="s">
        <v>52</v>
      </c>
      <c r="F265" t="s">
        <v>18</v>
      </c>
      <c r="G265" t="s">
        <v>54</v>
      </c>
      <c r="H265" t="s">
        <v>36</v>
      </c>
      <c r="I265">
        <v>5253</v>
      </c>
      <c r="J265">
        <v>3</v>
      </c>
      <c r="K265">
        <v>3.7</v>
      </c>
      <c r="L265">
        <v>1</v>
      </c>
      <c r="M265" t="s">
        <v>30</v>
      </c>
    </row>
    <row r="266" spans="1:13">
      <c r="A266" t="s">
        <v>544</v>
      </c>
      <c r="B266" t="s">
        <v>545</v>
      </c>
      <c r="C266" t="s">
        <v>15</v>
      </c>
      <c r="D266" t="s">
        <v>16</v>
      </c>
      <c r="E266" t="s">
        <v>17</v>
      </c>
      <c r="F266" t="s">
        <v>53</v>
      </c>
      <c r="G266" t="s">
        <v>28</v>
      </c>
      <c r="H266" t="s">
        <v>36</v>
      </c>
      <c r="I266">
        <v>8624</v>
      </c>
      <c r="J266">
        <v>8</v>
      </c>
      <c r="K266">
        <v>4.5</v>
      </c>
      <c r="L266">
        <v>4</v>
      </c>
      <c r="M266" t="s">
        <v>47</v>
      </c>
    </row>
    <row r="267" spans="1:13">
      <c r="A267" t="s">
        <v>546</v>
      </c>
      <c r="B267" t="s">
        <v>547</v>
      </c>
      <c r="C267" t="s">
        <v>125</v>
      </c>
      <c r="D267" t="s">
        <v>59</v>
      </c>
      <c r="E267" t="s">
        <v>26</v>
      </c>
      <c r="F267" t="s">
        <v>83</v>
      </c>
      <c r="G267" t="s">
        <v>19</v>
      </c>
      <c r="H267" t="s">
        <v>29</v>
      </c>
      <c r="I267">
        <v>8184</v>
      </c>
      <c r="J267">
        <v>3</v>
      </c>
      <c r="K267">
        <v>3.7</v>
      </c>
      <c r="L267">
        <v>2</v>
      </c>
      <c r="M267" t="s">
        <v>192</v>
      </c>
    </row>
    <row r="268" spans="1:13">
      <c r="A268" t="s">
        <v>548</v>
      </c>
      <c r="B268" t="s">
        <v>549</v>
      </c>
      <c r="C268" t="s">
        <v>170</v>
      </c>
      <c r="D268" t="s">
        <v>79</v>
      </c>
      <c r="E268" t="s">
        <v>26</v>
      </c>
      <c r="F268" t="s">
        <v>83</v>
      </c>
      <c r="G268" t="s">
        <v>54</v>
      </c>
      <c r="H268" t="s">
        <v>36</v>
      </c>
      <c r="I268">
        <v>62524</v>
      </c>
      <c r="J268">
        <v>7</v>
      </c>
      <c r="K268">
        <v>4.8</v>
      </c>
      <c r="L268">
        <v>8</v>
      </c>
      <c r="M268" t="s">
        <v>55</v>
      </c>
    </row>
    <row r="269" spans="1:13">
      <c r="A269" t="s">
        <v>550</v>
      </c>
      <c r="B269" t="s">
        <v>252</v>
      </c>
      <c r="C269" t="s">
        <v>146</v>
      </c>
      <c r="D269" t="s">
        <v>16</v>
      </c>
      <c r="E269" t="s">
        <v>17</v>
      </c>
      <c r="F269" t="s">
        <v>53</v>
      </c>
      <c r="G269" t="s">
        <v>104</v>
      </c>
      <c r="H269" t="s">
        <v>64</v>
      </c>
      <c r="I269">
        <v>4840</v>
      </c>
      <c r="J269">
        <v>8</v>
      </c>
      <c r="K269">
        <v>4.8</v>
      </c>
      <c r="L269">
        <v>4</v>
      </c>
      <c r="M269" t="s">
        <v>30</v>
      </c>
    </row>
    <row r="270" spans="1:13">
      <c r="A270" t="s">
        <v>551</v>
      </c>
      <c r="B270" t="s">
        <v>350</v>
      </c>
      <c r="C270" t="s">
        <v>15</v>
      </c>
      <c r="D270" t="s">
        <v>16</v>
      </c>
      <c r="E270" t="s">
        <v>17</v>
      </c>
      <c r="F270" t="s">
        <v>83</v>
      </c>
      <c r="G270" t="s">
        <v>19</v>
      </c>
      <c r="H270" t="s">
        <v>29</v>
      </c>
      <c r="I270">
        <v>895</v>
      </c>
      <c r="J270">
        <v>1</v>
      </c>
      <c r="K270">
        <v>3.4</v>
      </c>
      <c r="L270">
        <v>1</v>
      </c>
      <c r="M270" t="s">
        <v>80</v>
      </c>
    </row>
    <row r="271" spans="1:13">
      <c r="A271" t="s">
        <v>552</v>
      </c>
      <c r="B271" t="s">
        <v>547</v>
      </c>
      <c r="C271" t="s">
        <v>103</v>
      </c>
      <c r="D271" t="s">
        <v>97</v>
      </c>
      <c r="E271" t="s">
        <v>35</v>
      </c>
      <c r="F271" t="s">
        <v>60</v>
      </c>
      <c r="G271" t="s">
        <v>28</v>
      </c>
      <c r="H271" t="s">
        <v>64</v>
      </c>
      <c r="I271">
        <v>237105</v>
      </c>
      <c r="J271">
        <v>5</v>
      </c>
      <c r="K271">
        <v>3.9</v>
      </c>
      <c r="L271">
        <v>8</v>
      </c>
      <c r="M271" t="s">
        <v>192</v>
      </c>
    </row>
    <row r="272" spans="1:13">
      <c r="A272" t="s">
        <v>553</v>
      </c>
      <c r="B272" t="s">
        <v>106</v>
      </c>
      <c r="C272" t="s">
        <v>24</v>
      </c>
      <c r="D272" t="s">
        <v>147</v>
      </c>
      <c r="E272" t="s">
        <v>52</v>
      </c>
      <c r="F272" t="s">
        <v>100</v>
      </c>
      <c r="G272" t="s">
        <v>28</v>
      </c>
      <c r="H272" t="s">
        <v>29</v>
      </c>
      <c r="I272">
        <v>674</v>
      </c>
      <c r="J272">
        <v>1</v>
      </c>
      <c r="K272">
        <v>4.5999999999999996</v>
      </c>
      <c r="L272">
        <v>8</v>
      </c>
      <c r="M272" t="s">
        <v>80</v>
      </c>
    </row>
    <row r="273" spans="1:13">
      <c r="A273" t="s">
        <v>554</v>
      </c>
      <c r="B273" t="s">
        <v>555</v>
      </c>
      <c r="C273" t="s">
        <v>170</v>
      </c>
      <c r="D273" t="s">
        <v>25</v>
      </c>
      <c r="E273" t="s">
        <v>26</v>
      </c>
      <c r="F273" t="s">
        <v>18</v>
      </c>
      <c r="G273" t="s">
        <v>19</v>
      </c>
      <c r="H273" t="s">
        <v>29</v>
      </c>
      <c r="I273">
        <v>24060</v>
      </c>
      <c r="J273">
        <v>3</v>
      </c>
      <c r="K273">
        <v>3.3</v>
      </c>
      <c r="L273">
        <v>5</v>
      </c>
      <c r="M273" t="s">
        <v>119</v>
      </c>
    </row>
    <row r="274" spans="1:13">
      <c r="A274" t="s">
        <v>556</v>
      </c>
      <c r="B274" t="s">
        <v>557</v>
      </c>
      <c r="C274" t="s">
        <v>15</v>
      </c>
      <c r="D274" t="s">
        <v>25</v>
      </c>
      <c r="E274" t="s">
        <v>26</v>
      </c>
      <c r="F274" t="s">
        <v>27</v>
      </c>
      <c r="G274" t="s">
        <v>19</v>
      </c>
      <c r="H274" t="s">
        <v>64</v>
      </c>
      <c r="I274">
        <v>39788</v>
      </c>
      <c r="J274">
        <v>4</v>
      </c>
      <c r="K274">
        <v>4.8</v>
      </c>
      <c r="L274">
        <v>1</v>
      </c>
      <c r="M274" t="s">
        <v>47</v>
      </c>
    </row>
    <row r="275" spans="1:13">
      <c r="A275" t="s">
        <v>558</v>
      </c>
      <c r="B275" t="s">
        <v>559</v>
      </c>
      <c r="C275" t="s">
        <v>50</v>
      </c>
      <c r="D275" t="s">
        <v>159</v>
      </c>
      <c r="E275" t="s">
        <v>42</v>
      </c>
      <c r="F275" t="s">
        <v>83</v>
      </c>
      <c r="G275" t="s">
        <v>54</v>
      </c>
      <c r="H275" t="s">
        <v>64</v>
      </c>
      <c r="I275">
        <v>23824</v>
      </c>
      <c r="J275">
        <v>8</v>
      </c>
      <c r="K275">
        <v>4.0999999999999996</v>
      </c>
      <c r="L275">
        <v>7</v>
      </c>
      <c r="M275" t="s">
        <v>87</v>
      </c>
    </row>
    <row r="276" spans="1:13">
      <c r="A276" t="s">
        <v>560</v>
      </c>
      <c r="B276" t="s">
        <v>561</v>
      </c>
      <c r="C276" t="s">
        <v>133</v>
      </c>
      <c r="D276" t="s">
        <v>90</v>
      </c>
      <c r="E276" t="s">
        <v>42</v>
      </c>
      <c r="F276" t="s">
        <v>18</v>
      </c>
      <c r="G276" t="s">
        <v>54</v>
      </c>
      <c r="H276" t="s">
        <v>36</v>
      </c>
      <c r="I276">
        <v>38192</v>
      </c>
      <c r="J276">
        <v>8</v>
      </c>
      <c r="K276">
        <v>3.2</v>
      </c>
      <c r="L276">
        <v>7</v>
      </c>
      <c r="M276" t="s">
        <v>87</v>
      </c>
    </row>
    <row r="277" spans="1:13">
      <c r="A277" t="s">
        <v>562</v>
      </c>
      <c r="B277" t="s">
        <v>62</v>
      </c>
      <c r="C277" t="s">
        <v>170</v>
      </c>
      <c r="D277" t="s">
        <v>59</v>
      </c>
      <c r="E277" t="s">
        <v>26</v>
      </c>
      <c r="F277" t="s">
        <v>100</v>
      </c>
      <c r="G277" t="s">
        <v>28</v>
      </c>
      <c r="H277" t="s">
        <v>29</v>
      </c>
      <c r="I277">
        <v>6756</v>
      </c>
      <c r="J277">
        <v>4</v>
      </c>
      <c r="K277">
        <v>4.7</v>
      </c>
      <c r="L277">
        <v>8</v>
      </c>
      <c r="M277" t="s">
        <v>65</v>
      </c>
    </row>
    <row r="278" spans="1:13">
      <c r="A278" t="s">
        <v>563</v>
      </c>
      <c r="B278" t="s">
        <v>564</v>
      </c>
      <c r="C278" t="s">
        <v>68</v>
      </c>
      <c r="D278" t="s">
        <v>41</v>
      </c>
      <c r="E278" t="s">
        <v>42</v>
      </c>
      <c r="F278" t="s">
        <v>18</v>
      </c>
      <c r="G278" t="s">
        <v>19</v>
      </c>
      <c r="H278" t="s">
        <v>64</v>
      </c>
      <c r="I278">
        <v>23560</v>
      </c>
      <c r="J278">
        <v>4</v>
      </c>
      <c r="K278">
        <v>4.2</v>
      </c>
      <c r="L278">
        <v>6</v>
      </c>
      <c r="M278" t="s">
        <v>87</v>
      </c>
    </row>
    <row r="279" spans="1:13">
      <c r="A279" t="s">
        <v>565</v>
      </c>
      <c r="B279" t="s">
        <v>111</v>
      </c>
      <c r="C279" t="s">
        <v>170</v>
      </c>
      <c r="D279" t="s">
        <v>51</v>
      </c>
      <c r="E279" t="s">
        <v>52</v>
      </c>
      <c r="F279" t="s">
        <v>18</v>
      </c>
      <c r="G279" t="s">
        <v>28</v>
      </c>
      <c r="H279" t="s">
        <v>36</v>
      </c>
      <c r="I279">
        <v>5260</v>
      </c>
      <c r="J279">
        <v>5</v>
      </c>
      <c r="K279">
        <v>3.6</v>
      </c>
      <c r="L279">
        <v>4</v>
      </c>
      <c r="M279" t="s">
        <v>87</v>
      </c>
    </row>
    <row r="280" spans="1:13">
      <c r="A280" t="s">
        <v>566</v>
      </c>
      <c r="B280" t="s">
        <v>396</v>
      </c>
      <c r="C280" t="s">
        <v>78</v>
      </c>
      <c r="D280" t="s">
        <v>25</v>
      </c>
      <c r="E280" t="s">
        <v>26</v>
      </c>
      <c r="F280" t="s">
        <v>60</v>
      </c>
      <c r="G280" t="s">
        <v>28</v>
      </c>
      <c r="H280" t="s">
        <v>20</v>
      </c>
      <c r="I280">
        <v>6968</v>
      </c>
      <c r="J280">
        <v>8</v>
      </c>
      <c r="K280">
        <v>4.2</v>
      </c>
      <c r="L280">
        <v>1</v>
      </c>
      <c r="M280" t="s">
        <v>47</v>
      </c>
    </row>
    <row r="281" spans="1:13">
      <c r="A281" t="s">
        <v>567</v>
      </c>
      <c r="B281" t="s">
        <v>77</v>
      </c>
      <c r="C281" t="s">
        <v>103</v>
      </c>
      <c r="D281" t="s">
        <v>79</v>
      </c>
      <c r="E281" t="s">
        <v>26</v>
      </c>
      <c r="F281" t="s">
        <v>60</v>
      </c>
      <c r="G281" t="s">
        <v>104</v>
      </c>
      <c r="H281" t="s">
        <v>29</v>
      </c>
      <c r="I281">
        <v>15318</v>
      </c>
      <c r="J281">
        <v>2</v>
      </c>
      <c r="K281">
        <v>5</v>
      </c>
      <c r="L281">
        <v>4</v>
      </c>
      <c r="M281" t="s">
        <v>80</v>
      </c>
    </row>
    <row r="282" spans="1:13">
      <c r="A282" t="s">
        <v>568</v>
      </c>
      <c r="B282" t="s">
        <v>385</v>
      </c>
      <c r="C282" t="s">
        <v>179</v>
      </c>
      <c r="D282" t="s">
        <v>159</v>
      </c>
      <c r="E282" t="s">
        <v>42</v>
      </c>
      <c r="F282" t="s">
        <v>83</v>
      </c>
      <c r="G282" t="s">
        <v>104</v>
      </c>
      <c r="H282" t="s">
        <v>29</v>
      </c>
      <c r="I282">
        <v>36309</v>
      </c>
      <c r="J282">
        <v>7</v>
      </c>
      <c r="K282">
        <v>4.5</v>
      </c>
      <c r="L282">
        <v>4</v>
      </c>
      <c r="M282" t="s">
        <v>80</v>
      </c>
    </row>
    <row r="283" spans="1:13">
      <c r="A283" t="s">
        <v>569</v>
      </c>
      <c r="B283" t="s">
        <v>570</v>
      </c>
      <c r="C283" t="s">
        <v>78</v>
      </c>
      <c r="D283" t="s">
        <v>63</v>
      </c>
      <c r="E283" t="s">
        <v>52</v>
      </c>
      <c r="F283" t="s">
        <v>53</v>
      </c>
      <c r="G283" t="s">
        <v>28</v>
      </c>
      <c r="H283" t="s">
        <v>36</v>
      </c>
      <c r="I283">
        <v>4332</v>
      </c>
      <c r="J283">
        <v>6</v>
      </c>
      <c r="K283">
        <v>4.2</v>
      </c>
      <c r="L283">
        <v>7</v>
      </c>
      <c r="M283" t="s">
        <v>65</v>
      </c>
    </row>
    <row r="284" spans="1:13">
      <c r="A284" t="s">
        <v>571</v>
      </c>
      <c r="B284" t="s">
        <v>143</v>
      </c>
      <c r="C284" t="s">
        <v>40</v>
      </c>
      <c r="D284" t="s">
        <v>25</v>
      </c>
      <c r="E284" t="s">
        <v>26</v>
      </c>
      <c r="F284" t="s">
        <v>27</v>
      </c>
      <c r="G284" t="s">
        <v>104</v>
      </c>
      <c r="H284" t="s">
        <v>20</v>
      </c>
      <c r="I284">
        <v>36218</v>
      </c>
      <c r="J284">
        <v>7</v>
      </c>
      <c r="K284">
        <v>4.5999999999999996</v>
      </c>
      <c r="L284">
        <v>3</v>
      </c>
      <c r="M284" t="s">
        <v>144</v>
      </c>
    </row>
    <row r="285" spans="1:13">
      <c r="A285" t="s">
        <v>572</v>
      </c>
      <c r="B285" t="s">
        <v>573</v>
      </c>
      <c r="C285" t="s">
        <v>78</v>
      </c>
      <c r="D285" t="s">
        <v>218</v>
      </c>
      <c r="E285" t="s">
        <v>17</v>
      </c>
      <c r="F285" t="s">
        <v>60</v>
      </c>
      <c r="G285" t="s">
        <v>19</v>
      </c>
      <c r="H285" t="s">
        <v>29</v>
      </c>
      <c r="I285">
        <v>1034</v>
      </c>
      <c r="J285">
        <v>1</v>
      </c>
      <c r="K285">
        <v>4.5</v>
      </c>
      <c r="L285">
        <v>4</v>
      </c>
      <c r="M285" t="s">
        <v>37</v>
      </c>
    </row>
    <row r="286" spans="1:13">
      <c r="A286" t="s">
        <v>574</v>
      </c>
      <c r="B286" t="s">
        <v>454</v>
      </c>
      <c r="C286" t="s">
        <v>45</v>
      </c>
      <c r="D286" t="s">
        <v>116</v>
      </c>
      <c r="E286" t="s">
        <v>17</v>
      </c>
      <c r="F286" t="s">
        <v>60</v>
      </c>
      <c r="G286" t="s">
        <v>19</v>
      </c>
      <c r="H286" t="s">
        <v>29</v>
      </c>
      <c r="I286">
        <v>11921</v>
      </c>
      <c r="J286">
        <v>7</v>
      </c>
      <c r="K286">
        <v>4.5</v>
      </c>
      <c r="L286">
        <v>4</v>
      </c>
      <c r="M286" t="s">
        <v>55</v>
      </c>
    </row>
    <row r="287" spans="1:13">
      <c r="A287" t="s">
        <v>575</v>
      </c>
      <c r="B287" t="s">
        <v>576</v>
      </c>
      <c r="C287" t="s">
        <v>50</v>
      </c>
      <c r="D287" t="s">
        <v>79</v>
      </c>
      <c r="E287" t="s">
        <v>26</v>
      </c>
      <c r="F287" t="s">
        <v>18</v>
      </c>
      <c r="G287" t="s">
        <v>28</v>
      </c>
      <c r="H287" t="s">
        <v>29</v>
      </c>
      <c r="I287">
        <v>18235</v>
      </c>
      <c r="J287">
        <v>5</v>
      </c>
      <c r="K287">
        <v>4.5</v>
      </c>
      <c r="L287">
        <v>2</v>
      </c>
      <c r="M287" t="s">
        <v>37</v>
      </c>
    </row>
    <row r="288" spans="1:13">
      <c r="A288" t="s">
        <v>577</v>
      </c>
      <c r="B288" t="s">
        <v>261</v>
      </c>
      <c r="C288" t="s">
        <v>33</v>
      </c>
      <c r="D288" t="s">
        <v>59</v>
      </c>
      <c r="E288" t="s">
        <v>26</v>
      </c>
      <c r="F288" t="s">
        <v>83</v>
      </c>
      <c r="G288" t="s">
        <v>104</v>
      </c>
      <c r="H288" t="s">
        <v>36</v>
      </c>
      <c r="I288">
        <v>25320</v>
      </c>
      <c r="J288">
        <v>3</v>
      </c>
      <c r="K288">
        <v>4.5</v>
      </c>
      <c r="L288">
        <v>3</v>
      </c>
      <c r="M288" t="s">
        <v>80</v>
      </c>
    </row>
    <row r="289" spans="1:13">
      <c r="A289" t="s">
        <v>578</v>
      </c>
      <c r="B289" t="s">
        <v>579</v>
      </c>
      <c r="C289" t="s">
        <v>133</v>
      </c>
      <c r="D289" t="s">
        <v>59</v>
      </c>
      <c r="E289" t="s">
        <v>26</v>
      </c>
      <c r="F289" t="s">
        <v>100</v>
      </c>
      <c r="G289" t="s">
        <v>28</v>
      </c>
      <c r="H289" t="s">
        <v>36</v>
      </c>
      <c r="I289">
        <v>22872</v>
      </c>
      <c r="J289">
        <v>6</v>
      </c>
      <c r="K289">
        <v>4.0999999999999996</v>
      </c>
      <c r="L289">
        <v>3</v>
      </c>
      <c r="M289" t="s">
        <v>65</v>
      </c>
    </row>
    <row r="290" spans="1:13">
      <c r="A290" t="s">
        <v>580</v>
      </c>
      <c r="B290" t="s">
        <v>581</v>
      </c>
      <c r="C290" t="s">
        <v>68</v>
      </c>
      <c r="D290" t="s">
        <v>34</v>
      </c>
      <c r="E290" t="s">
        <v>35</v>
      </c>
      <c r="F290" t="s">
        <v>27</v>
      </c>
      <c r="G290" t="s">
        <v>104</v>
      </c>
      <c r="H290" t="s">
        <v>64</v>
      </c>
      <c r="I290">
        <v>245874</v>
      </c>
      <c r="J290">
        <v>6</v>
      </c>
      <c r="K290">
        <v>4.2</v>
      </c>
      <c r="L290">
        <v>1</v>
      </c>
      <c r="M290" t="s">
        <v>37</v>
      </c>
    </row>
    <row r="291" spans="1:13">
      <c r="A291" t="s">
        <v>582</v>
      </c>
      <c r="B291" t="s">
        <v>583</v>
      </c>
      <c r="C291" t="s">
        <v>112</v>
      </c>
      <c r="D291" t="s">
        <v>63</v>
      </c>
      <c r="E291" t="s">
        <v>52</v>
      </c>
      <c r="F291" t="s">
        <v>53</v>
      </c>
      <c r="G291" t="s">
        <v>28</v>
      </c>
      <c r="H291" t="s">
        <v>64</v>
      </c>
      <c r="I291">
        <v>4284</v>
      </c>
      <c r="J291">
        <v>6</v>
      </c>
      <c r="K291">
        <v>4.5</v>
      </c>
      <c r="L291">
        <v>1</v>
      </c>
      <c r="M291" t="s">
        <v>144</v>
      </c>
    </row>
    <row r="292" spans="1:13">
      <c r="A292" t="s">
        <v>584</v>
      </c>
      <c r="B292" t="s">
        <v>585</v>
      </c>
      <c r="C292" t="s">
        <v>75</v>
      </c>
      <c r="D292" t="s">
        <v>218</v>
      </c>
      <c r="E292" t="s">
        <v>17</v>
      </c>
      <c r="F292" t="s">
        <v>83</v>
      </c>
      <c r="G292" t="s">
        <v>19</v>
      </c>
      <c r="H292" t="s">
        <v>64</v>
      </c>
      <c r="I292">
        <v>3824</v>
      </c>
      <c r="J292">
        <v>4</v>
      </c>
      <c r="K292">
        <v>4.9000000000000004</v>
      </c>
      <c r="L292">
        <v>1</v>
      </c>
      <c r="M292" t="s">
        <v>192</v>
      </c>
    </row>
    <row r="293" spans="1:13">
      <c r="A293" t="s">
        <v>586</v>
      </c>
      <c r="B293" t="s">
        <v>587</v>
      </c>
      <c r="C293" t="s">
        <v>75</v>
      </c>
      <c r="D293" t="s">
        <v>86</v>
      </c>
      <c r="E293" t="s">
        <v>17</v>
      </c>
      <c r="F293" t="s">
        <v>18</v>
      </c>
      <c r="G293" t="s">
        <v>54</v>
      </c>
      <c r="H293" t="s">
        <v>20</v>
      </c>
      <c r="I293">
        <v>11368</v>
      </c>
      <c r="J293">
        <v>7</v>
      </c>
      <c r="K293">
        <v>4.5</v>
      </c>
      <c r="L293">
        <v>1</v>
      </c>
      <c r="M293" t="s">
        <v>30</v>
      </c>
    </row>
    <row r="294" spans="1:13">
      <c r="A294" t="s">
        <v>588</v>
      </c>
      <c r="B294" t="s">
        <v>589</v>
      </c>
      <c r="C294" t="s">
        <v>15</v>
      </c>
      <c r="D294" t="s">
        <v>165</v>
      </c>
      <c r="E294" t="s">
        <v>35</v>
      </c>
      <c r="F294" t="s">
        <v>60</v>
      </c>
      <c r="G294" t="s">
        <v>54</v>
      </c>
      <c r="H294" t="s">
        <v>36</v>
      </c>
      <c r="I294">
        <v>213440</v>
      </c>
      <c r="J294">
        <v>4</v>
      </c>
      <c r="K294">
        <v>3.9</v>
      </c>
      <c r="L294">
        <v>6</v>
      </c>
      <c r="M294" t="s">
        <v>87</v>
      </c>
    </row>
    <row r="295" spans="1:13">
      <c r="A295" t="s">
        <v>590</v>
      </c>
      <c r="B295" t="s">
        <v>99</v>
      </c>
      <c r="C295" t="s">
        <v>45</v>
      </c>
      <c r="D295" t="s">
        <v>25</v>
      </c>
      <c r="E295" t="s">
        <v>26</v>
      </c>
      <c r="F295" t="s">
        <v>18</v>
      </c>
      <c r="G295" t="s">
        <v>104</v>
      </c>
      <c r="H295" t="s">
        <v>64</v>
      </c>
      <c r="I295">
        <v>2538</v>
      </c>
      <c r="J295">
        <v>1</v>
      </c>
      <c r="K295">
        <v>3.7</v>
      </c>
      <c r="L295">
        <v>5</v>
      </c>
      <c r="M295" t="s">
        <v>30</v>
      </c>
    </row>
    <row r="296" spans="1:13">
      <c r="A296" t="s">
        <v>591</v>
      </c>
      <c r="B296" t="s">
        <v>167</v>
      </c>
      <c r="C296" t="s">
        <v>72</v>
      </c>
      <c r="D296" t="s">
        <v>90</v>
      </c>
      <c r="E296" t="s">
        <v>42</v>
      </c>
      <c r="F296" t="s">
        <v>53</v>
      </c>
      <c r="G296" t="s">
        <v>104</v>
      </c>
      <c r="H296" t="s">
        <v>36</v>
      </c>
      <c r="I296">
        <v>2501</v>
      </c>
      <c r="J296">
        <v>1</v>
      </c>
      <c r="K296">
        <v>4.5</v>
      </c>
      <c r="L296">
        <v>5</v>
      </c>
      <c r="M296" t="s">
        <v>119</v>
      </c>
    </row>
    <row r="297" spans="1:13">
      <c r="A297" t="s">
        <v>592</v>
      </c>
      <c r="B297" t="s">
        <v>593</v>
      </c>
      <c r="C297" t="s">
        <v>179</v>
      </c>
      <c r="D297" t="s">
        <v>79</v>
      </c>
      <c r="E297" t="s">
        <v>26</v>
      </c>
      <c r="F297" t="s">
        <v>60</v>
      </c>
      <c r="G297" t="s">
        <v>19</v>
      </c>
      <c r="H297" t="s">
        <v>20</v>
      </c>
      <c r="I297">
        <v>2194</v>
      </c>
      <c r="J297">
        <v>1</v>
      </c>
      <c r="K297">
        <v>3.7</v>
      </c>
      <c r="L297">
        <v>6</v>
      </c>
      <c r="M297" t="s">
        <v>80</v>
      </c>
    </row>
    <row r="298" spans="1:13">
      <c r="A298" t="s">
        <v>594</v>
      </c>
      <c r="B298" t="s">
        <v>595</v>
      </c>
      <c r="C298" t="s">
        <v>78</v>
      </c>
      <c r="D298" t="s">
        <v>63</v>
      </c>
      <c r="E298" t="s">
        <v>52</v>
      </c>
      <c r="F298" t="s">
        <v>18</v>
      </c>
      <c r="G298" t="s">
        <v>104</v>
      </c>
      <c r="H298" t="s">
        <v>36</v>
      </c>
      <c r="I298">
        <v>3595</v>
      </c>
      <c r="J298">
        <v>5</v>
      </c>
      <c r="K298">
        <v>4.7</v>
      </c>
      <c r="L298">
        <v>8</v>
      </c>
      <c r="M298" t="s">
        <v>192</v>
      </c>
    </row>
    <row r="299" spans="1:13">
      <c r="A299" t="s">
        <v>596</v>
      </c>
      <c r="B299" t="s">
        <v>597</v>
      </c>
      <c r="C299" t="s">
        <v>179</v>
      </c>
      <c r="D299" t="s">
        <v>113</v>
      </c>
      <c r="E299" t="s">
        <v>35</v>
      </c>
      <c r="F299" t="s">
        <v>53</v>
      </c>
      <c r="G299" t="s">
        <v>28</v>
      </c>
      <c r="H299" t="s">
        <v>64</v>
      </c>
      <c r="I299">
        <v>154440</v>
      </c>
      <c r="J299">
        <v>8</v>
      </c>
      <c r="K299">
        <v>3.7</v>
      </c>
      <c r="L299">
        <v>2</v>
      </c>
      <c r="M299" t="s">
        <v>37</v>
      </c>
    </row>
    <row r="300" spans="1:13">
      <c r="A300" t="s">
        <v>598</v>
      </c>
      <c r="B300" t="s">
        <v>599</v>
      </c>
      <c r="C300" t="s">
        <v>24</v>
      </c>
      <c r="D300" t="s">
        <v>165</v>
      </c>
      <c r="E300" t="s">
        <v>35</v>
      </c>
      <c r="F300" t="s">
        <v>18</v>
      </c>
      <c r="G300" t="s">
        <v>104</v>
      </c>
      <c r="H300" t="s">
        <v>20</v>
      </c>
      <c r="I300">
        <v>383140</v>
      </c>
      <c r="J300">
        <v>5</v>
      </c>
      <c r="K300">
        <v>4.7</v>
      </c>
      <c r="L300">
        <v>7</v>
      </c>
      <c r="M300" t="s">
        <v>119</v>
      </c>
    </row>
    <row r="301" spans="1:13">
      <c r="A301" t="s">
        <v>600</v>
      </c>
      <c r="B301" t="s">
        <v>115</v>
      </c>
      <c r="C301" t="s">
        <v>125</v>
      </c>
      <c r="D301" t="s">
        <v>51</v>
      </c>
      <c r="E301" t="s">
        <v>52</v>
      </c>
      <c r="F301" t="s">
        <v>100</v>
      </c>
      <c r="G301" t="s">
        <v>54</v>
      </c>
      <c r="H301" t="s">
        <v>20</v>
      </c>
      <c r="I301">
        <v>9648</v>
      </c>
      <c r="J301">
        <v>6</v>
      </c>
      <c r="K301">
        <v>3.8</v>
      </c>
      <c r="L301">
        <v>5</v>
      </c>
      <c r="M301" t="s">
        <v>21</v>
      </c>
    </row>
    <row r="302" spans="1:13">
      <c r="A302" t="s">
        <v>601</v>
      </c>
      <c r="B302" t="s">
        <v>237</v>
      </c>
      <c r="C302" t="s">
        <v>112</v>
      </c>
      <c r="D302" t="s">
        <v>25</v>
      </c>
      <c r="E302" t="s">
        <v>26</v>
      </c>
      <c r="F302" t="s">
        <v>27</v>
      </c>
      <c r="G302" t="s">
        <v>54</v>
      </c>
      <c r="H302" t="s">
        <v>64</v>
      </c>
      <c r="I302">
        <v>6156</v>
      </c>
      <c r="J302">
        <v>3</v>
      </c>
      <c r="K302">
        <v>4.5</v>
      </c>
      <c r="L302">
        <v>1</v>
      </c>
      <c r="M302" t="s">
        <v>21</v>
      </c>
    </row>
    <row r="303" spans="1:13">
      <c r="A303" t="s">
        <v>602</v>
      </c>
      <c r="B303" t="s">
        <v>603</v>
      </c>
      <c r="C303" t="s">
        <v>72</v>
      </c>
      <c r="D303" t="s">
        <v>79</v>
      </c>
      <c r="E303" t="s">
        <v>26</v>
      </c>
      <c r="F303" t="s">
        <v>60</v>
      </c>
      <c r="G303" t="s">
        <v>54</v>
      </c>
      <c r="H303" t="s">
        <v>64</v>
      </c>
      <c r="I303">
        <v>33965</v>
      </c>
      <c r="J303">
        <v>5</v>
      </c>
      <c r="K303">
        <v>3.9</v>
      </c>
      <c r="L303">
        <v>5</v>
      </c>
      <c r="M303" t="s">
        <v>144</v>
      </c>
    </row>
    <row r="304" spans="1:13">
      <c r="A304" t="s">
        <v>604</v>
      </c>
      <c r="B304" t="s">
        <v>605</v>
      </c>
      <c r="C304" t="s">
        <v>125</v>
      </c>
      <c r="D304" t="s">
        <v>165</v>
      </c>
      <c r="E304" t="s">
        <v>35</v>
      </c>
      <c r="F304" t="s">
        <v>53</v>
      </c>
      <c r="G304" t="s">
        <v>54</v>
      </c>
      <c r="H304" t="s">
        <v>20</v>
      </c>
      <c r="I304">
        <v>279552</v>
      </c>
      <c r="J304">
        <v>4</v>
      </c>
      <c r="K304">
        <v>3.5</v>
      </c>
      <c r="L304">
        <v>3</v>
      </c>
      <c r="M304" t="s">
        <v>144</v>
      </c>
    </row>
    <row r="305" spans="1:13">
      <c r="A305" t="s">
        <v>606</v>
      </c>
      <c r="B305" t="s">
        <v>242</v>
      </c>
      <c r="C305" t="s">
        <v>50</v>
      </c>
      <c r="D305" t="s">
        <v>159</v>
      </c>
      <c r="E305" t="s">
        <v>42</v>
      </c>
      <c r="F305" t="s">
        <v>60</v>
      </c>
      <c r="G305" t="s">
        <v>28</v>
      </c>
      <c r="H305" t="s">
        <v>36</v>
      </c>
      <c r="I305">
        <v>11965</v>
      </c>
      <c r="J305">
        <v>5</v>
      </c>
      <c r="K305">
        <v>4.8</v>
      </c>
      <c r="L305">
        <v>6</v>
      </c>
      <c r="M305" t="s">
        <v>87</v>
      </c>
    </row>
    <row r="306" spans="1:13">
      <c r="A306" t="s">
        <v>607</v>
      </c>
      <c r="B306" t="s">
        <v>183</v>
      </c>
      <c r="C306" t="s">
        <v>58</v>
      </c>
      <c r="D306" t="s">
        <v>218</v>
      </c>
      <c r="E306" t="s">
        <v>17</v>
      </c>
      <c r="F306" t="s">
        <v>27</v>
      </c>
      <c r="G306" t="s">
        <v>54</v>
      </c>
      <c r="H306" t="s">
        <v>29</v>
      </c>
      <c r="I306">
        <v>4195</v>
      </c>
      <c r="J306">
        <v>5</v>
      </c>
      <c r="K306">
        <v>4.4000000000000004</v>
      </c>
      <c r="L306">
        <v>6</v>
      </c>
      <c r="M306" t="s">
        <v>87</v>
      </c>
    </row>
    <row r="307" spans="1:13">
      <c r="A307" t="s">
        <v>608</v>
      </c>
      <c r="B307" t="s">
        <v>174</v>
      </c>
      <c r="C307" t="s">
        <v>146</v>
      </c>
      <c r="D307" t="s">
        <v>159</v>
      </c>
      <c r="E307" t="s">
        <v>42</v>
      </c>
      <c r="F307" t="s">
        <v>83</v>
      </c>
      <c r="G307" t="s">
        <v>19</v>
      </c>
      <c r="H307" t="s">
        <v>36</v>
      </c>
      <c r="I307">
        <v>32543</v>
      </c>
      <c r="J307">
        <v>7</v>
      </c>
      <c r="K307">
        <v>3.2</v>
      </c>
      <c r="L307">
        <v>3</v>
      </c>
      <c r="M307" t="s">
        <v>65</v>
      </c>
    </row>
    <row r="308" spans="1:13">
      <c r="A308" t="s">
        <v>609</v>
      </c>
      <c r="B308" t="s">
        <v>57</v>
      </c>
      <c r="C308" t="s">
        <v>170</v>
      </c>
      <c r="D308" t="s">
        <v>59</v>
      </c>
      <c r="E308" t="s">
        <v>26</v>
      </c>
      <c r="F308" t="s">
        <v>27</v>
      </c>
      <c r="G308" t="s">
        <v>54</v>
      </c>
      <c r="H308" t="s">
        <v>64</v>
      </c>
      <c r="I308">
        <v>8214</v>
      </c>
      <c r="J308">
        <v>3</v>
      </c>
      <c r="K308">
        <v>4.4000000000000004</v>
      </c>
      <c r="L308">
        <v>7</v>
      </c>
      <c r="M308" t="s">
        <v>37</v>
      </c>
    </row>
    <row r="309" spans="1:13">
      <c r="A309" t="s">
        <v>610</v>
      </c>
      <c r="B309" t="s">
        <v>611</v>
      </c>
      <c r="C309" t="s">
        <v>72</v>
      </c>
      <c r="D309" t="s">
        <v>90</v>
      </c>
      <c r="E309" t="s">
        <v>42</v>
      </c>
      <c r="F309" t="s">
        <v>27</v>
      </c>
      <c r="G309" t="s">
        <v>54</v>
      </c>
      <c r="H309" t="s">
        <v>20</v>
      </c>
      <c r="I309">
        <v>8088</v>
      </c>
      <c r="J309">
        <v>3</v>
      </c>
      <c r="K309">
        <v>3.4</v>
      </c>
      <c r="L309">
        <v>3</v>
      </c>
      <c r="M309" t="s">
        <v>37</v>
      </c>
    </row>
    <row r="310" spans="1:13">
      <c r="A310" t="s">
        <v>612</v>
      </c>
      <c r="B310" t="s">
        <v>533</v>
      </c>
      <c r="C310" t="s">
        <v>75</v>
      </c>
      <c r="D310" t="s">
        <v>86</v>
      </c>
      <c r="E310" t="s">
        <v>17</v>
      </c>
      <c r="F310" t="s">
        <v>83</v>
      </c>
      <c r="G310" t="s">
        <v>28</v>
      </c>
      <c r="H310" t="s">
        <v>64</v>
      </c>
      <c r="I310">
        <v>4074</v>
      </c>
      <c r="J310">
        <v>3</v>
      </c>
      <c r="K310">
        <v>3.2</v>
      </c>
      <c r="L310">
        <v>5</v>
      </c>
      <c r="M310" t="s">
        <v>21</v>
      </c>
    </row>
    <row r="311" spans="1:13">
      <c r="A311" t="s">
        <v>613</v>
      </c>
      <c r="B311" t="s">
        <v>226</v>
      </c>
      <c r="C311" t="s">
        <v>24</v>
      </c>
      <c r="D311" t="s">
        <v>159</v>
      </c>
      <c r="E311" t="s">
        <v>42</v>
      </c>
      <c r="F311" t="s">
        <v>27</v>
      </c>
      <c r="G311" t="s">
        <v>104</v>
      </c>
      <c r="H311" t="s">
        <v>64</v>
      </c>
      <c r="I311">
        <v>15323</v>
      </c>
      <c r="J311">
        <v>7</v>
      </c>
      <c r="K311">
        <v>4.4000000000000004</v>
      </c>
      <c r="L311">
        <v>5</v>
      </c>
      <c r="M311" t="s">
        <v>37</v>
      </c>
    </row>
    <row r="312" spans="1:13">
      <c r="A312" t="s">
        <v>614</v>
      </c>
      <c r="B312" t="s">
        <v>615</v>
      </c>
      <c r="C312" t="s">
        <v>72</v>
      </c>
      <c r="D312" t="s">
        <v>25</v>
      </c>
      <c r="E312" t="s">
        <v>26</v>
      </c>
      <c r="F312" t="s">
        <v>100</v>
      </c>
      <c r="G312" t="s">
        <v>54</v>
      </c>
      <c r="H312" t="s">
        <v>20</v>
      </c>
      <c r="I312">
        <v>28805</v>
      </c>
      <c r="J312">
        <v>7</v>
      </c>
      <c r="K312">
        <v>4.0999999999999996</v>
      </c>
      <c r="L312">
        <v>7</v>
      </c>
      <c r="M312" t="s">
        <v>37</v>
      </c>
    </row>
    <row r="313" spans="1:13">
      <c r="A313" t="s">
        <v>616</v>
      </c>
      <c r="B313" t="s">
        <v>387</v>
      </c>
      <c r="C313" t="s">
        <v>112</v>
      </c>
      <c r="D313" t="s">
        <v>41</v>
      </c>
      <c r="E313" t="s">
        <v>42</v>
      </c>
      <c r="F313" t="s">
        <v>60</v>
      </c>
      <c r="G313" t="s">
        <v>104</v>
      </c>
      <c r="H313" t="s">
        <v>36</v>
      </c>
      <c r="I313">
        <v>11286</v>
      </c>
      <c r="J313">
        <v>2</v>
      </c>
      <c r="K313">
        <v>4.7</v>
      </c>
      <c r="L313">
        <v>7</v>
      </c>
      <c r="M313" t="s">
        <v>65</v>
      </c>
    </row>
    <row r="314" spans="1:13">
      <c r="A314" t="s">
        <v>617</v>
      </c>
      <c r="B314" t="s">
        <v>615</v>
      </c>
      <c r="C314" t="s">
        <v>125</v>
      </c>
      <c r="D314" t="s">
        <v>69</v>
      </c>
      <c r="E314" t="s">
        <v>26</v>
      </c>
      <c r="F314" t="s">
        <v>83</v>
      </c>
      <c r="G314" t="s">
        <v>54</v>
      </c>
      <c r="H314" t="s">
        <v>29</v>
      </c>
      <c r="I314">
        <v>19200</v>
      </c>
      <c r="J314">
        <v>8</v>
      </c>
      <c r="K314">
        <v>4</v>
      </c>
      <c r="L314">
        <v>5</v>
      </c>
      <c r="M314" t="s">
        <v>37</v>
      </c>
    </row>
    <row r="315" spans="1:13">
      <c r="A315" t="s">
        <v>618</v>
      </c>
      <c r="B315" t="s">
        <v>619</v>
      </c>
      <c r="C315" t="s">
        <v>179</v>
      </c>
      <c r="D315" t="s">
        <v>69</v>
      </c>
      <c r="E315" t="s">
        <v>26</v>
      </c>
      <c r="F315" t="s">
        <v>27</v>
      </c>
      <c r="G315" t="s">
        <v>104</v>
      </c>
      <c r="H315" t="s">
        <v>64</v>
      </c>
      <c r="I315">
        <v>10920</v>
      </c>
      <c r="J315">
        <v>4</v>
      </c>
      <c r="K315">
        <v>4.0999999999999996</v>
      </c>
      <c r="L315">
        <v>7</v>
      </c>
      <c r="M315" t="s">
        <v>21</v>
      </c>
    </row>
    <row r="316" spans="1:13">
      <c r="A316" t="s">
        <v>620</v>
      </c>
      <c r="B316" t="s">
        <v>458</v>
      </c>
      <c r="C316" t="s">
        <v>50</v>
      </c>
      <c r="D316" t="s">
        <v>113</v>
      </c>
      <c r="E316" t="s">
        <v>35</v>
      </c>
      <c r="F316" t="s">
        <v>83</v>
      </c>
      <c r="G316" t="s">
        <v>28</v>
      </c>
      <c r="H316" t="s">
        <v>64</v>
      </c>
      <c r="I316">
        <v>257243</v>
      </c>
      <c r="J316">
        <v>7</v>
      </c>
      <c r="K316">
        <v>4.2</v>
      </c>
      <c r="L316">
        <v>5</v>
      </c>
      <c r="M316" t="s">
        <v>80</v>
      </c>
    </row>
    <row r="317" spans="1:13">
      <c r="A317" t="s">
        <v>621</v>
      </c>
      <c r="B317" t="s">
        <v>622</v>
      </c>
      <c r="C317" t="s">
        <v>122</v>
      </c>
      <c r="D317" t="s">
        <v>109</v>
      </c>
      <c r="E317" t="s">
        <v>52</v>
      </c>
      <c r="F317" t="s">
        <v>60</v>
      </c>
      <c r="G317" t="s">
        <v>19</v>
      </c>
      <c r="H317" t="s">
        <v>36</v>
      </c>
      <c r="I317">
        <v>12048</v>
      </c>
      <c r="J317">
        <v>8</v>
      </c>
      <c r="K317">
        <v>4.5</v>
      </c>
      <c r="L317">
        <v>2</v>
      </c>
      <c r="M317" t="s">
        <v>30</v>
      </c>
    </row>
    <row r="318" spans="1:13">
      <c r="A318" t="s">
        <v>623</v>
      </c>
      <c r="B318" t="s">
        <v>624</v>
      </c>
      <c r="C318" t="s">
        <v>75</v>
      </c>
      <c r="D318" t="s">
        <v>51</v>
      </c>
      <c r="E318" t="s">
        <v>52</v>
      </c>
      <c r="F318" t="s">
        <v>18</v>
      </c>
      <c r="G318" t="s">
        <v>104</v>
      </c>
      <c r="H318" t="s">
        <v>20</v>
      </c>
      <c r="I318">
        <v>1843</v>
      </c>
      <c r="J318">
        <v>1</v>
      </c>
      <c r="K318">
        <v>4</v>
      </c>
      <c r="L318">
        <v>7</v>
      </c>
      <c r="M318" t="s">
        <v>126</v>
      </c>
    </row>
    <row r="319" spans="1:13">
      <c r="A319" t="s">
        <v>625</v>
      </c>
      <c r="B319" t="s">
        <v>626</v>
      </c>
      <c r="C319" t="s">
        <v>24</v>
      </c>
      <c r="D319" t="s">
        <v>113</v>
      </c>
      <c r="E319" t="s">
        <v>35</v>
      </c>
      <c r="F319" t="s">
        <v>27</v>
      </c>
      <c r="G319" t="s">
        <v>28</v>
      </c>
      <c r="H319" t="s">
        <v>64</v>
      </c>
      <c r="I319">
        <v>55013</v>
      </c>
      <c r="J319">
        <v>1</v>
      </c>
      <c r="K319">
        <v>4.0999999999999996</v>
      </c>
      <c r="L319">
        <v>1</v>
      </c>
      <c r="M319" t="s">
        <v>192</v>
      </c>
    </row>
    <row r="320" spans="1:13">
      <c r="A320" t="s">
        <v>627</v>
      </c>
      <c r="B320" t="s">
        <v>275</v>
      </c>
      <c r="C320" t="s">
        <v>33</v>
      </c>
      <c r="D320" t="s">
        <v>86</v>
      </c>
      <c r="E320" t="s">
        <v>17</v>
      </c>
      <c r="F320" t="s">
        <v>53</v>
      </c>
      <c r="G320" t="s">
        <v>19</v>
      </c>
      <c r="H320" t="s">
        <v>36</v>
      </c>
      <c r="I320">
        <v>3490</v>
      </c>
      <c r="J320">
        <v>5</v>
      </c>
      <c r="K320">
        <v>4.5</v>
      </c>
      <c r="L320">
        <v>3</v>
      </c>
      <c r="M320" t="s">
        <v>119</v>
      </c>
    </row>
    <row r="321" spans="1:13">
      <c r="A321" t="s">
        <v>628</v>
      </c>
      <c r="B321" t="s">
        <v>115</v>
      </c>
      <c r="C321" t="s">
        <v>75</v>
      </c>
      <c r="D321" t="s">
        <v>147</v>
      </c>
      <c r="E321" t="s">
        <v>52</v>
      </c>
      <c r="F321" t="s">
        <v>100</v>
      </c>
      <c r="G321" t="s">
        <v>104</v>
      </c>
      <c r="H321" t="s">
        <v>29</v>
      </c>
      <c r="I321">
        <v>13076</v>
      </c>
      <c r="J321">
        <v>7</v>
      </c>
      <c r="K321">
        <v>4.0999999999999996</v>
      </c>
      <c r="L321">
        <v>2</v>
      </c>
      <c r="M321" t="s">
        <v>21</v>
      </c>
    </row>
    <row r="322" spans="1:13">
      <c r="A322" t="s">
        <v>629</v>
      </c>
      <c r="B322" t="s">
        <v>630</v>
      </c>
      <c r="C322" t="s">
        <v>78</v>
      </c>
      <c r="D322" t="s">
        <v>130</v>
      </c>
      <c r="E322" t="s">
        <v>35</v>
      </c>
      <c r="F322" t="s">
        <v>18</v>
      </c>
      <c r="G322" t="s">
        <v>104</v>
      </c>
      <c r="H322" t="s">
        <v>29</v>
      </c>
      <c r="I322">
        <v>311416</v>
      </c>
      <c r="J322">
        <v>4</v>
      </c>
      <c r="K322">
        <v>3.5</v>
      </c>
      <c r="L322">
        <v>2</v>
      </c>
      <c r="M322" t="s">
        <v>37</v>
      </c>
    </row>
    <row r="323" spans="1:13">
      <c r="A323" t="s">
        <v>631</v>
      </c>
      <c r="B323" t="s">
        <v>587</v>
      </c>
      <c r="C323" t="s">
        <v>146</v>
      </c>
      <c r="D323" t="s">
        <v>218</v>
      </c>
      <c r="E323" t="s">
        <v>17</v>
      </c>
      <c r="F323" t="s">
        <v>27</v>
      </c>
      <c r="G323" t="s">
        <v>28</v>
      </c>
      <c r="H323" t="s">
        <v>36</v>
      </c>
      <c r="I323">
        <v>8605</v>
      </c>
      <c r="J323">
        <v>5</v>
      </c>
      <c r="K323">
        <v>4.5999999999999996</v>
      </c>
      <c r="L323">
        <v>6</v>
      </c>
      <c r="M323" t="s">
        <v>30</v>
      </c>
    </row>
    <row r="324" spans="1:13">
      <c r="A324" t="s">
        <v>632</v>
      </c>
      <c r="B324" t="s">
        <v>533</v>
      </c>
      <c r="C324" t="s">
        <v>103</v>
      </c>
      <c r="D324" t="s">
        <v>41</v>
      </c>
      <c r="E324" t="s">
        <v>42</v>
      </c>
      <c r="F324" t="s">
        <v>83</v>
      </c>
      <c r="G324" t="s">
        <v>104</v>
      </c>
      <c r="H324" t="s">
        <v>36</v>
      </c>
      <c r="I324">
        <v>6572</v>
      </c>
      <c r="J324">
        <v>2</v>
      </c>
      <c r="K324">
        <v>4.9000000000000004</v>
      </c>
      <c r="L324">
        <v>1</v>
      </c>
      <c r="M324" t="s">
        <v>21</v>
      </c>
    </row>
    <row r="325" spans="1:13">
      <c r="A325" t="s">
        <v>633</v>
      </c>
      <c r="B325" t="s">
        <v>559</v>
      </c>
      <c r="C325" t="s">
        <v>125</v>
      </c>
      <c r="D325" t="s">
        <v>46</v>
      </c>
      <c r="E325" t="s">
        <v>42</v>
      </c>
      <c r="F325" t="s">
        <v>27</v>
      </c>
      <c r="G325" t="s">
        <v>19</v>
      </c>
      <c r="H325" t="s">
        <v>20</v>
      </c>
      <c r="I325">
        <v>7470</v>
      </c>
      <c r="J325">
        <v>3</v>
      </c>
      <c r="K325">
        <v>3.7</v>
      </c>
      <c r="L325">
        <v>4</v>
      </c>
      <c r="M325" t="s">
        <v>87</v>
      </c>
    </row>
    <row r="326" spans="1:13">
      <c r="A326" t="s">
        <v>634</v>
      </c>
      <c r="B326" t="s">
        <v>635</v>
      </c>
      <c r="C326" t="s">
        <v>75</v>
      </c>
      <c r="D326" t="s">
        <v>109</v>
      </c>
      <c r="E326" t="s">
        <v>52</v>
      </c>
      <c r="F326" t="s">
        <v>27</v>
      </c>
      <c r="G326" t="s">
        <v>28</v>
      </c>
      <c r="H326" t="s">
        <v>36</v>
      </c>
      <c r="I326">
        <v>5088</v>
      </c>
      <c r="J326">
        <v>4</v>
      </c>
      <c r="K326">
        <v>4.5999999999999996</v>
      </c>
      <c r="L326">
        <v>2</v>
      </c>
      <c r="M326" t="s">
        <v>37</v>
      </c>
    </row>
    <row r="327" spans="1:13">
      <c r="A327" t="s">
        <v>636</v>
      </c>
      <c r="B327" t="s">
        <v>637</v>
      </c>
      <c r="C327" t="s">
        <v>50</v>
      </c>
      <c r="D327" t="s">
        <v>25</v>
      </c>
      <c r="E327" t="s">
        <v>26</v>
      </c>
      <c r="F327" t="s">
        <v>83</v>
      </c>
      <c r="G327" t="s">
        <v>19</v>
      </c>
      <c r="H327" t="s">
        <v>36</v>
      </c>
      <c r="I327">
        <v>31806</v>
      </c>
      <c r="J327">
        <v>6</v>
      </c>
      <c r="K327">
        <v>4.0999999999999996</v>
      </c>
      <c r="L327">
        <v>5</v>
      </c>
      <c r="M327" t="s">
        <v>65</v>
      </c>
    </row>
    <row r="328" spans="1:13">
      <c r="A328" t="s">
        <v>638</v>
      </c>
      <c r="B328" t="s">
        <v>446</v>
      </c>
      <c r="C328" t="s">
        <v>170</v>
      </c>
      <c r="D328" t="s">
        <v>69</v>
      </c>
      <c r="E328" t="s">
        <v>26</v>
      </c>
      <c r="F328" t="s">
        <v>27</v>
      </c>
      <c r="G328" t="s">
        <v>54</v>
      </c>
      <c r="H328" t="s">
        <v>36</v>
      </c>
      <c r="I328">
        <v>8290</v>
      </c>
      <c r="J328">
        <v>1</v>
      </c>
      <c r="K328">
        <v>5</v>
      </c>
      <c r="L328">
        <v>8</v>
      </c>
      <c r="M328" t="s">
        <v>65</v>
      </c>
    </row>
    <row r="329" spans="1:13">
      <c r="A329" t="s">
        <v>639</v>
      </c>
      <c r="B329" t="s">
        <v>640</v>
      </c>
      <c r="C329" t="s">
        <v>103</v>
      </c>
      <c r="D329" t="s">
        <v>51</v>
      </c>
      <c r="E329" t="s">
        <v>52</v>
      </c>
      <c r="F329" t="s">
        <v>60</v>
      </c>
      <c r="G329" t="s">
        <v>104</v>
      </c>
      <c r="H329" t="s">
        <v>29</v>
      </c>
      <c r="I329">
        <v>3462</v>
      </c>
      <c r="J329">
        <v>2</v>
      </c>
      <c r="K329">
        <v>4.2</v>
      </c>
      <c r="L329">
        <v>4</v>
      </c>
      <c r="M329" t="s">
        <v>30</v>
      </c>
    </row>
    <row r="330" spans="1:13">
      <c r="A330" t="s">
        <v>641</v>
      </c>
      <c r="B330" t="s">
        <v>434</v>
      </c>
      <c r="C330" t="s">
        <v>58</v>
      </c>
      <c r="D330" t="s">
        <v>51</v>
      </c>
      <c r="E330" t="s">
        <v>52</v>
      </c>
      <c r="F330" t="s">
        <v>27</v>
      </c>
      <c r="G330" t="s">
        <v>19</v>
      </c>
      <c r="H330" t="s">
        <v>36</v>
      </c>
      <c r="I330">
        <v>7096</v>
      </c>
      <c r="J330">
        <v>4</v>
      </c>
      <c r="K330">
        <v>4</v>
      </c>
      <c r="L330">
        <v>3</v>
      </c>
      <c r="M330" t="s">
        <v>47</v>
      </c>
    </row>
    <row r="331" spans="1:13">
      <c r="A331" t="s">
        <v>642</v>
      </c>
      <c r="B331" t="s">
        <v>429</v>
      </c>
      <c r="C331" t="s">
        <v>133</v>
      </c>
      <c r="D331" t="s">
        <v>34</v>
      </c>
      <c r="E331" t="s">
        <v>35</v>
      </c>
      <c r="F331" t="s">
        <v>60</v>
      </c>
      <c r="G331" t="s">
        <v>19</v>
      </c>
      <c r="H331" t="s">
        <v>29</v>
      </c>
      <c r="I331">
        <v>151312</v>
      </c>
      <c r="J331">
        <v>7</v>
      </c>
      <c r="K331">
        <v>4.7</v>
      </c>
      <c r="L331">
        <v>3</v>
      </c>
      <c r="M331" t="s">
        <v>30</v>
      </c>
    </row>
    <row r="332" spans="1:13">
      <c r="A332" t="s">
        <v>643</v>
      </c>
      <c r="B332" t="s">
        <v>195</v>
      </c>
      <c r="C332" t="s">
        <v>68</v>
      </c>
      <c r="D332" t="s">
        <v>46</v>
      </c>
      <c r="E332" t="s">
        <v>42</v>
      </c>
      <c r="F332" t="s">
        <v>60</v>
      </c>
      <c r="G332" t="s">
        <v>104</v>
      </c>
      <c r="H332" t="s">
        <v>29</v>
      </c>
      <c r="I332">
        <v>1191</v>
      </c>
      <c r="J332">
        <v>1</v>
      </c>
      <c r="K332">
        <v>4.7</v>
      </c>
      <c r="L332">
        <v>8</v>
      </c>
      <c r="M332" t="s">
        <v>21</v>
      </c>
    </row>
    <row r="333" spans="1:13">
      <c r="A333" t="s">
        <v>644</v>
      </c>
      <c r="B333" t="s">
        <v>622</v>
      </c>
      <c r="C333" t="s">
        <v>58</v>
      </c>
      <c r="D333" t="s">
        <v>130</v>
      </c>
      <c r="E333" t="s">
        <v>35</v>
      </c>
      <c r="F333" t="s">
        <v>100</v>
      </c>
      <c r="G333" t="s">
        <v>19</v>
      </c>
      <c r="H333" t="s">
        <v>29</v>
      </c>
      <c r="I333">
        <v>282350</v>
      </c>
      <c r="J333">
        <v>5</v>
      </c>
      <c r="K333">
        <v>4.8</v>
      </c>
      <c r="L333">
        <v>4</v>
      </c>
      <c r="M333" t="s">
        <v>30</v>
      </c>
    </row>
    <row r="334" spans="1:13">
      <c r="A334" t="s">
        <v>645</v>
      </c>
      <c r="B334" t="s">
        <v>646</v>
      </c>
      <c r="C334" t="s">
        <v>24</v>
      </c>
      <c r="D334" t="s">
        <v>130</v>
      </c>
      <c r="E334" t="s">
        <v>35</v>
      </c>
      <c r="F334" t="s">
        <v>27</v>
      </c>
      <c r="G334" t="s">
        <v>104</v>
      </c>
      <c r="H334" t="s">
        <v>64</v>
      </c>
      <c r="I334">
        <v>419576</v>
      </c>
      <c r="J334">
        <v>8</v>
      </c>
      <c r="K334">
        <v>4</v>
      </c>
      <c r="L334">
        <v>3</v>
      </c>
      <c r="M334" t="s">
        <v>119</v>
      </c>
    </row>
    <row r="335" spans="1:13">
      <c r="A335" t="s">
        <v>647</v>
      </c>
      <c r="B335" t="s">
        <v>589</v>
      </c>
      <c r="C335" t="s">
        <v>45</v>
      </c>
      <c r="D335" t="s">
        <v>69</v>
      </c>
      <c r="E335" t="s">
        <v>26</v>
      </c>
      <c r="F335" t="s">
        <v>27</v>
      </c>
      <c r="G335" t="s">
        <v>28</v>
      </c>
      <c r="H335" t="s">
        <v>29</v>
      </c>
      <c r="I335">
        <v>11982</v>
      </c>
      <c r="J335">
        <v>2</v>
      </c>
      <c r="K335">
        <v>4.4000000000000004</v>
      </c>
      <c r="L335">
        <v>5</v>
      </c>
      <c r="M335" t="s">
        <v>87</v>
      </c>
    </row>
    <row r="336" spans="1:13">
      <c r="A336" t="s">
        <v>648</v>
      </c>
      <c r="B336" t="s">
        <v>222</v>
      </c>
      <c r="C336" t="s">
        <v>75</v>
      </c>
      <c r="D336" t="s">
        <v>46</v>
      </c>
      <c r="E336" t="s">
        <v>42</v>
      </c>
      <c r="F336" t="s">
        <v>83</v>
      </c>
      <c r="G336" t="s">
        <v>19</v>
      </c>
      <c r="H336" t="s">
        <v>64</v>
      </c>
      <c r="I336">
        <v>7112</v>
      </c>
      <c r="J336">
        <v>8</v>
      </c>
      <c r="K336">
        <v>4.5</v>
      </c>
      <c r="L336">
        <v>5</v>
      </c>
      <c r="M336" t="s">
        <v>30</v>
      </c>
    </row>
    <row r="337" spans="1:13">
      <c r="A337" t="s">
        <v>649</v>
      </c>
      <c r="B337" t="s">
        <v>242</v>
      </c>
      <c r="C337" t="s">
        <v>68</v>
      </c>
      <c r="D337" t="s">
        <v>16</v>
      </c>
      <c r="E337" t="s">
        <v>17</v>
      </c>
      <c r="F337" t="s">
        <v>53</v>
      </c>
      <c r="G337" t="s">
        <v>19</v>
      </c>
      <c r="H337" t="s">
        <v>36</v>
      </c>
      <c r="I337">
        <v>11384</v>
      </c>
      <c r="J337">
        <v>8</v>
      </c>
      <c r="K337">
        <v>4.5999999999999996</v>
      </c>
      <c r="L337">
        <v>2</v>
      </c>
      <c r="M337" t="s">
        <v>87</v>
      </c>
    </row>
    <row r="338" spans="1:13">
      <c r="A338" t="s">
        <v>650</v>
      </c>
      <c r="B338" t="s">
        <v>615</v>
      </c>
      <c r="C338" t="s">
        <v>15</v>
      </c>
      <c r="D338" t="s">
        <v>46</v>
      </c>
      <c r="E338" t="s">
        <v>42</v>
      </c>
      <c r="F338" t="s">
        <v>18</v>
      </c>
      <c r="G338" t="s">
        <v>104</v>
      </c>
      <c r="H338" t="s">
        <v>29</v>
      </c>
      <c r="I338">
        <v>6940</v>
      </c>
      <c r="J338">
        <v>4</v>
      </c>
      <c r="K338">
        <v>4.0999999999999996</v>
      </c>
      <c r="L338">
        <v>3</v>
      </c>
      <c r="M338" t="s">
        <v>37</v>
      </c>
    </row>
    <row r="339" spans="1:13">
      <c r="A339" t="s">
        <v>651</v>
      </c>
      <c r="B339" t="s">
        <v>652</v>
      </c>
      <c r="C339" t="s">
        <v>58</v>
      </c>
      <c r="D339" t="s">
        <v>90</v>
      </c>
      <c r="E339" t="s">
        <v>42</v>
      </c>
      <c r="F339" t="s">
        <v>60</v>
      </c>
      <c r="G339" t="s">
        <v>104</v>
      </c>
      <c r="H339" t="s">
        <v>29</v>
      </c>
      <c r="I339">
        <v>25585</v>
      </c>
      <c r="J339">
        <v>5</v>
      </c>
      <c r="K339">
        <v>4.3</v>
      </c>
      <c r="L339">
        <v>8</v>
      </c>
      <c r="M339" t="s">
        <v>30</v>
      </c>
    </row>
    <row r="340" spans="1:13">
      <c r="A340" t="s">
        <v>653</v>
      </c>
      <c r="B340" t="s">
        <v>561</v>
      </c>
      <c r="C340" t="s">
        <v>112</v>
      </c>
      <c r="D340" t="s">
        <v>159</v>
      </c>
      <c r="E340" t="s">
        <v>42</v>
      </c>
      <c r="F340" t="s">
        <v>83</v>
      </c>
      <c r="G340" t="s">
        <v>104</v>
      </c>
      <c r="H340" t="s">
        <v>29</v>
      </c>
      <c r="I340">
        <v>22624</v>
      </c>
      <c r="J340">
        <v>8</v>
      </c>
      <c r="K340">
        <v>3.7</v>
      </c>
      <c r="L340">
        <v>1</v>
      </c>
      <c r="M340" t="s">
        <v>87</v>
      </c>
    </row>
    <row r="341" spans="1:13">
      <c r="A341" t="s">
        <v>654</v>
      </c>
      <c r="B341" t="s">
        <v>523</v>
      </c>
      <c r="C341" t="s">
        <v>78</v>
      </c>
      <c r="D341" t="s">
        <v>41</v>
      </c>
      <c r="E341" t="s">
        <v>42</v>
      </c>
      <c r="F341" t="s">
        <v>53</v>
      </c>
      <c r="G341" t="s">
        <v>19</v>
      </c>
      <c r="H341" t="s">
        <v>64</v>
      </c>
      <c r="I341">
        <v>33808</v>
      </c>
      <c r="J341">
        <v>8</v>
      </c>
      <c r="K341">
        <v>4.3</v>
      </c>
      <c r="L341">
        <v>1</v>
      </c>
      <c r="M341" t="s">
        <v>119</v>
      </c>
    </row>
    <row r="342" spans="1:13">
      <c r="A342" t="s">
        <v>655</v>
      </c>
      <c r="B342" t="s">
        <v>656</v>
      </c>
      <c r="C342" t="s">
        <v>112</v>
      </c>
      <c r="D342" t="s">
        <v>69</v>
      </c>
      <c r="E342" t="s">
        <v>26</v>
      </c>
      <c r="F342" t="s">
        <v>100</v>
      </c>
      <c r="G342" t="s">
        <v>104</v>
      </c>
      <c r="H342" t="s">
        <v>29</v>
      </c>
      <c r="I342">
        <v>20432</v>
      </c>
      <c r="J342">
        <v>4</v>
      </c>
      <c r="K342">
        <v>3.3</v>
      </c>
      <c r="L342">
        <v>4</v>
      </c>
      <c r="M342" t="s">
        <v>55</v>
      </c>
    </row>
    <row r="343" spans="1:13">
      <c r="A343" t="s">
        <v>657</v>
      </c>
      <c r="B343" t="s">
        <v>201</v>
      </c>
      <c r="C343" t="s">
        <v>103</v>
      </c>
      <c r="D343" t="s">
        <v>59</v>
      </c>
      <c r="E343" t="s">
        <v>26</v>
      </c>
      <c r="F343" t="s">
        <v>27</v>
      </c>
      <c r="G343" t="s">
        <v>28</v>
      </c>
      <c r="H343" t="s">
        <v>20</v>
      </c>
      <c r="I343">
        <v>10432</v>
      </c>
      <c r="J343">
        <v>4</v>
      </c>
      <c r="K343">
        <v>4.3</v>
      </c>
      <c r="L343">
        <v>8</v>
      </c>
      <c r="M343" t="s">
        <v>55</v>
      </c>
    </row>
    <row r="344" spans="1:13">
      <c r="A344" t="s">
        <v>658</v>
      </c>
      <c r="B344" t="s">
        <v>536</v>
      </c>
      <c r="C344" t="s">
        <v>15</v>
      </c>
      <c r="D344" t="s">
        <v>113</v>
      </c>
      <c r="E344" t="s">
        <v>35</v>
      </c>
      <c r="F344" t="s">
        <v>83</v>
      </c>
      <c r="G344" t="s">
        <v>54</v>
      </c>
      <c r="H344" t="s">
        <v>20</v>
      </c>
      <c r="I344">
        <v>26871</v>
      </c>
      <c r="J344">
        <v>1</v>
      </c>
      <c r="K344">
        <v>3.7</v>
      </c>
      <c r="L344">
        <v>8</v>
      </c>
      <c r="M344" t="s">
        <v>80</v>
      </c>
    </row>
    <row r="345" spans="1:13">
      <c r="A345" t="s">
        <v>659</v>
      </c>
      <c r="B345" t="s">
        <v>660</v>
      </c>
      <c r="C345" t="s">
        <v>170</v>
      </c>
      <c r="D345" t="s">
        <v>116</v>
      </c>
      <c r="E345" t="s">
        <v>17</v>
      </c>
      <c r="F345" t="s">
        <v>18</v>
      </c>
      <c r="G345" t="s">
        <v>19</v>
      </c>
      <c r="H345" t="s">
        <v>36</v>
      </c>
      <c r="I345">
        <v>6960</v>
      </c>
      <c r="J345">
        <v>6</v>
      </c>
      <c r="K345">
        <v>4.5</v>
      </c>
      <c r="L345">
        <v>1</v>
      </c>
      <c r="M345" t="s">
        <v>37</v>
      </c>
    </row>
    <row r="346" spans="1:13">
      <c r="A346" t="s">
        <v>661</v>
      </c>
      <c r="B346" t="s">
        <v>589</v>
      </c>
      <c r="C346" t="s">
        <v>50</v>
      </c>
      <c r="D346" t="s">
        <v>97</v>
      </c>
      <c r="E346" t="s">
        <v>35</v>
      </c>
      <c r="F346" t="s">
        <v>60</v>
      </c>
      <c r="G346" t="s">
        <v>19</v>
      </c>
      <c r="H346" t="s">
        <v>36</v>
      </c>
      <c r="I346">
        <v>282224</v>
      </c>
      <c r="J346">
        <v>8</v>
      </c>
      <c r="K346">
        <v>3.4</v>
      </c>
      <c r="L346">
        <v>4</v>
      </c>
      <c r="M346" t="s">
        <v>87</v>
      </c>
    </row>
    <row r="347" spans="1:13">
      <c r="A347" t="s">
        <v>662</v>
      </c>
      <c r="B347" t="s">
        <v>663</v>
      </c>
      <c r="C347" t="s">
        <v>78</v>
      </c>
      <c r="D347" t="s">
        <v>51</v>
      </c>
      <c r="E347" t="s">
        <v>52</v>
      </c>
      <c r="F347" t="s">
        <v>100</v>
      </c>
      <c r="G347" t="s">
        <v>54</v>
      </c>
      <c r="H347" t="s">
        <v>29</v>
      </c>
      <c r="I347">
        <v>7372</v>
      </c>
      <c r="J347">
        <v>4</v>
      </c>
      <c r="K347">
        <v>4.3</v>
      </c>
      <c r="L347">
        <v>1</v>
      </c>
      <c r="M347" t="s">
        <v>87</v>
      </c>
    </row>
    <row r="348" spans="1:13">
      <c r="A348" t="s">
        <v>664</v>
      </c>
      <c r="B348" t="s">
        <v>597</v>
      </c>
      <c r="C348" t="s">
        <v>24</v>
      </c>
      <c r="D348" t="s">
        <v>46</v>
      </c>
      <c r="E348" t="s">
        <v>42</v>
      </c>
      <c r="F348" t="s">
        <v>53</v>
      </c>
      <c r="G348" t="s">
        <v>54</v>
      </c>
      <c r="H348" t="s">
        <v>64</v>
      </c>
      <c r="I348">
        <v>15798</v>
      </c>
      <c r="J348">
        <v>6</v>
      </c>
      <c r="K348">
        <v>4</v>
      </c>
      <c r="L348">
        <v>1</v>
      </c>
      <c r="M348" t="s">
        <v>37</v>
      </c>
    </row>
    <row r="349" spans="1:13">
      <c r="A349" t="s">
        <v>665</v>
      </c>
      <c r="B349" t="s">
        <v>666</v>
      </c>
      <c r="C349" t="s">
        <v>45</v>
      </c>
      <c r="D349" t="s">
        <v>147</v>
      </c>
      <c r="E349" t="s">
        <v>52</v>
      </c>
      <c r="F349" t="s">
        <v>53</v>
      </c>
      <c r="G349" t="s">
        <v>54</v>
      </c>
      <c r="H349" t="s">
        <v>36</v>
      </c>
      <c r="I349">
        <v>7072</v>
      </c>
      <c r="J349">
        <v>8</v>
      </c>
      <c r="K349">
        <v>3.5</v>
      </c>
      <c r="L349">
        <v>2</v>
      </c>
      <c r="M349" t="s">
        <v>144</v>
      </c>
    </row>
    <row r="350" spans="1:13">
      <c r="A350" t="s">
        <v>667</v>
      </c>
      <c r="B350" t="s">
        <v>668</v>
      </c>
      <c r="C350" t="s">
        <v>146</v>
      </c>
      <c r="D350" t="s">
        <v>34</v>
      </c>
      <c r="E350" t="s">
        <v>35</v>
      </c>
      <c r="F350" t="s">
        <v>27</v>
      </c>
      <c r="G350" t="s">
        <v>19</v>
      </c>
      <c r="H350" t="s">
        <v>36</v>
      </c>
      <c r="I350">
        <v>65994</v>
      </c>
      <c r="J350">
        <v>2</v>
      </c>
      <c r="K350">
        <v>4.5999999999999996</v>
      </c>
      <c r="L350">
        <v>6</v>
      </c>
      <c r="M350" t="s">
        <v>119</v>
      </c>
    </row>
    <row r="351" spans="1:13">
      <c r="A351" t="s">
        <v>669</v>
      </c>
      <c r="B351" t="s">
        <v>670</v>
      </c>
      <c r="C351" t="s">
        <v>179</v>
      </c>
      <c r="D351" t="s">
        <v>46</v>
      </c>
      <c r="E351" t="s">
        <v>42</v>
      </c>
      <c r="F351" t="s">
        <v>100</v>
      </c>
      <c r="G351" t="s">
        <v>19</v>
      </c>
      <c r="H351" t="s">
        <v>29</v>
      </c>
      <c r="I351">
        <v>26395</v>
      </c>
      <c r="J351">
        <v>5</v>
      </c>
      <c r="K351">
        <v>4.2</v>
      </c>
      <c r="L351">
        <v>8</v>
      </c>
      <c r="M351" t="s">
        <v>80</v>
      </c>
    </row>
    <row r="352" spans="1:13">
      <c r="A352" t="s">
        <v>671</v>
      </c>
      <c r="B352" t="s">
        <v>14</v>
      </c>
      <c r="C352" t="s">
        <v>146</v>
      </c>
      <c r="D352" t="s">
        <v>97</v>
      </c>
      <c r="E352" t="s">
        <v>35</v>
      </c>
      <c r="F352" t="s">
        <v>18</v>
      </c>
      <c r="G352" t="s">
        <v>28</v>
      </c>
      <c r="H352" t="s">
        <v>20</v>
      </c>
      <c r="I352">
        <v>68457</v>
      </c>
      <c r="J352">
        <v>3</v>
      </c>
      <c r="K352">
        <v>4.7</v>
      </c>
      <c r="L352">
        <v>6</v>
      </c>
      <c r="M352" t="s">
        <v>21</v>
      </c>
    </row>
    <row r="353" spans="1:13">
      <c r="A353" t="s">
        <v>672</v>
      </c>
      <c r="B353" t="s">
        <v>673</v>
      </c>
      <c r="C353" t="s">
        <v>78</v>
      </c>
      <c r="D353" t="s">
        <v>218</v>
      </c>
      <c r="E353" t="s">
        <v>17</v>
      </c>
      <c r="F353" t="s">
        <v>83</v>
      </c>
      <c r="G353" t="s">
        <v>104</v>
      </c>
      <c r="H353" t="s">
        <v>29</v>
      </c>
      <c r="I353">
        <v>3824</v>
      </c>
      <c r="J353">
        <v>4</v>
      </c>
      <c r="K353">
        <v>4.0999999999999996</v>
      </c>
      <c r="L353">
        <v>8</v>
      </c>
      <c r="M353" t="s">
        <v>192</v>
      </c>
    </row>
    <row r="354" spans="1:13">
      <c r="A354" t="s">
        <v>674</v>
      </c>
      <c r="B354" t="s">
        <v>675</v>
      </c>
      <c r="C354" t="s">
        <v>68</v>
      </c>
      <c r="D354" t="s">
        <v>46</v>
      </c>
      <c r="E354" t="s">
        <v>42</v>
      </c>
      <c r="F354" t="s">
        <v>60</v>
      </c>
      <c r="G354" t="s">
        <v>19</v>
      </c>
      <c r="H354" t="s">
        <v>36</v>
      </c>
      <c r="I354">
        <v>3526</v>
      </c>
      <c r="J354">
        <v>2</v>
      </c>
      <c r="K354">
        <v>4.8</v>
      </c>
      <c r="L354">
        <v>4</v>
      </c>
      <c r="M354" t="s">
        <v>87</v>
      </c>
    </row>
    <row r="355" spans="1:13">
      <c r="A355" t="s">
        <v>676</v>
      </c>
      <c r="B355" t="s">
        <v>275</v>
      </c>
      <c r="C355" t="s">
        <v>15</v>
      </c>
      <c r="D355" t="s">
        <v>116</v>
      </c>
      <c r="E355" t="s">
        <v>17</v>
      </c>
      <c r="F355" t="s">
        <v>83</v>
      </c>
      <c r="G355" t="s">
        <v>28</v>
      </c>
      <c r="H355" t="s">
        <v>36</v>
      </c>
      <c r="I355">
        <v>11008</v>
      </c>
      <c r="J355">
        <v>8</v>
      </c>
      <c r="K355">
        <v>4.3</v>
      </c>
      <c r="L355">
        <v>2</v>
      </c>
      <c r="M355" t="s">
        <v>119</v>
      </c>
    </row>
    <row r="356" spans="1:13">
      <c r="A356" t="s">
        <v>677</v>
      </c>
      <c r="B356" t="s">
        <v>379</v>
      </c>
      <c r="C356" t="s">
        <v>40</v>
      </c>
      <c r="D356" t="s">
        <v>41</v>
      </c>
      <c r="E356" t="s">
        <v>42</v>
      </c>
      <c r="F356" t="s">
        <v>18</v>
      </c>
      <c r="G356" t="s">
        <v>19</v>
      </c>
      <c r="H356" t="s">
        <v>36</v>
      </c>
      <c r="I356">
        <v>20139</v>
      </c>
      <c r="J356">
        <v>7</v>
      </c>
      <c r="K356">
        <v>3.3</v>
      </c>
      <c r="L356">
        <v>2</v>
      </c>
      <c r="M356" t="s">
        <v>55</v>
      </c>
    </row>
    <row r="357" spans="1:13">
      <c r="A357" t="s">
        <v>678</v>
      </c>
      <c r="B357" t="s">
        <v>387</v>
      </c>
      <c r="C357" t="s">
        <v>78</v>
      </c>
      <c r="D357" t="s">
        <v>86</v>
      </c>
      <c r="E357" t="s">
        <v>17</v>
      </c>
      <c r="F357" t="s">
        <v>27</v>
      </c>
      <c r="G357" t="s">
        <v>28</v>
      </c>
      <c r="H357" t="s">
        <v>36</v>
      </c>
      <c r="I357">
        <v>4816</v>
      </c>
      <c r="J357">
        <v>7</v>
      </c>
      <c r="K357">
        <v>4.3</v>
      </c>
      <c r="L357">
        <v>3</v>
      </c>
      <c r="M357" t="s">
        <v>65</v>
      </c>
    </row>
    <row r="358" spans="1:13">
      <c r="A358" t="s">
        <v>679</v>
      </c>
      <c r="B358" t="s">
        <v>141</v>
      </c>
      <c r="C358" t="s">
        <v>24</v>
      </c>
      <c r="D358" t="s">
        <v>59</v>
      </c>
      <c r="E358" t="s">
        <v>26</v>
      </c>
      <c r="F358" t="s">
        <v>100</v>
      </c>
      <c r="G358" t="s">
        <v>28</v>
      </c>
      <c r="H358" t="s">
        <v>29</v>
      </c>
      <c r="I358">
        <v>30040</v>
      </c>
      <c r="J358">
        <v>8</v>
      </c>
      <c r="K358">
        <v>4.2</v>
      </c>
      <c r="L358">
        <v>6</v>
      </c>
      <c r="M358" t="s">
        <v>119</v>
      </c>
    </row>
    <row r="359" spans="1:13">
      <c r="A359" t="s">
        <v>680</v>
      </c>
      <c r="B359" t="s">
        <v>681</v>
      </c>
      <c r="C359" t="s">
        <v>50</v>
      </c>
      <c r="D359" t="s">
        <v>165</v>
      </c>
      <c r="E359" t="s">
        <v>35</v>
      </c>
      <c r="F359" t="s">
        <v>100</v>
      </c>
      <c r="G359" t="s">
        <v>104</v>
      </c>
      <c r="H359" t="s">
        <v>29</v>
      </c>
      <c r="I359">
        <v>269370</v>
      </c>
      <c r="J359">
        <v>6</v>
      </c>
      <c r="K359">
        <v>4.2</v>
      </c>
      <c r="L359">
        <v>4</v>
      </c>
      <c r="M359" t="s">
        <v>126</v>
      </c>
    </row>
    <row r="360" spans="1:13">
      <c r="A360" t="s">
        <v>682</v>
      </c>
      <c r="B360" t="s">
        <v>300</v>
      </c>
      <c r="C360" t="s">
        <v>15</v>
      </c>
      <c r="D360" t="s">
        <v>90</v>
      </c>
      <c r="E360" t="s">
        <v>42</v>
      </c>
      <c r="F360" t="s">
        <v>53</v>
      </c>
      <c r="G360" t="s">
        <v>19</v>
      </c>
      <c r="H360" t="s">
        <v>20</v>
      </c>
      <c r="I360">
        <v>5580</v>
      </c>
      <c r="J360">
        <v>1</v>
      </c>
      <c r="K360">
        <v>4.0999999999999996</v>
      </c>
      <c r="L360">
        <v>5</v>
      </c>
      <c r="M360" t="s">
        <v>55</v>
      </c>
    </row>
    <row r="361" spans="1:13">
      <c r="A361" t="s">
        <v>683</v>
      </c>
      <c r="B361" t="s">
        <v>118</v>
      </c>
      <c r="C361" t="s">
        <v>146</v>
      </c>
      <c r="D361" t="s">
        <v>113</v>
      </c>
      <c r="E361" t="s">
        <v>35</v>
      </c>
      <c r="F361" t="s">
        <v>53</v>
      </c>
      <c r="G361" t="s">
        <v>19</v>
      </c>
      <c r="H361" t="s">
        <v>20</v>
      </c>
      <c r="I361">
        <v>377090</v>
      </c>
      <c r="J361">
        <v>5</v>
      </c>
      <c r="K361">
        <v>3.5</v>
      </c>
      <c r="L361">
        <v>1</v>
      </c>
      <c r="M361" t="s">
        <v>119</v>
      </c>
    </row>
    <row r="362" spans="1:13">
      <c r="A362" t="s">
        <v>684</v>
      </c>
      <c r="B362" t="s">
        <v>413</v>
      </c>
      <c r="C362" t="s">
        <v>75</v>
      </c>
      <c r="D362" t="s">
        <v>130</v>
      </c>
      <c r="E362" t="s">
        <v>35</v>
      </c>
      <c r="F362" t="s">
        <v>27</v>
      </c>
      <c r="G362" t="s">
        <v>104</v>
      </c>
      <c r="H362" t="s">
        <v>64</v>
      </c>
      <c r="I362">
        <v>167444</v>
      </c>
      <c r="J362">
        <v>4</v>
      </c>
      <c r="K362">
        <v>3.9</v>
      </c>
      <c r="L362">
        <v>4</v>
      </c>
      <c r="M362" t="s">
        <v>30</v>
      </c>
    </row>
    <row r="363" spans="1:13">
      <c r="A363" t="s">
        <v>685</v>
      </c>
      <c r="B363" t="s">
        <v>118</v>
      </c>
      <c r="C363" t="s">
        <v>170</v>
      </c>
      <c r="D363" t="s">
        <v>51</v>
      </c>
      <c r="E363" t="s">
        <v>52</v>
      </c>
      <c r="F363" t="s">
        <v>53</v>
      </c>
      <c r="G363" t="s">
        <v>28</v>
      </c>
      <c r="H363" t="s">
        <v>64</v>
      </c>
      <c r="I363">
        <v>2960</v>
      </c>
      <c r="J363">
        <v>2</v>
      </c>
      <c r="K363">
        <v>3.3</v>
      </c>
      <c r="L363">
        <v>1</v>
      </c>
      <c r="M363" t="s">
        <v>119</v>
      </c>
    </row>
    <row r="364" spans="1:13">
      <c r="A364" t="s">
        <v>686</v>
      </c>
      <c r="B364" t="s">
        <v>687</v>
      </c>
      <c r="C364" t="s">
        <v>170</v>
      </c>
      <c r="D364" t="s">
        <v>86</v>
      </c>
      <c r="E364" t="s">
        <v>17</v>
      </c>
      <c r="F364" t="s">
        <v>100</v>
      </c>
      <c r="G364" t="s">
        <v>19</v>
      </c>
      <c r="H364" t="s">
        <v>20</v>
      </c>
      <c r="I364">
        <v>1598</v>
      </c>
      <c r="J364">
        <v>1</v>
      </c>
      <c r="K364">
        <v>3.3</v>
      </c>
      <c r="L364">
        <v>3</v>
      </c>
      <c r="M364" t="s">
        <v>119</v>
      </c>
    </row>
    <row r="365" spans="1:13">
      <c r="A365" t="s">
        <v>688</v>
      </c>
      <c r="B365" t="s">
        <v>306</v>
      </c>
      <c r="C365" t="s">
        <v>125</v>
      </c>
      <c r="D365" t="s">
        <v>116</v>
      </c>
      <c r="E365" t="s">
        <v>17</v>
      </c>
      <c r="F365" t="s">
        <v>100</v>
      </c>
      <c r="G365" t="s">
        <v>54</v>
      </c>
      <c r="H365" t="s">
        <v>64</v>
      </c>
      <c r="I365">
        <v>1508</v>
      </c>
      <c r="J365">
        <v>2</v>
      </c>
      <c r="K365">
        <v>3.4</v>
      </c>
      <c r="L365">
        <v>2</v>
      </c>
      <c r="M365" t="s">
        <v>47</v>
      </c>
    </row>
    <row r="366" spans="1:13">
      <c r="A366" t="s">
        <v>689</v>
      </c>
      <c r="B366" t="s">
        <v>690</v>
      </c>
      <c r="C366" t="s">
        <v>58</v>
      </c>
      <c r="D366" t="s">
        <v>113</v>
      </c>
      <c r="E366" t="s">
        <v>35</v>
      </c>
      <c r="F366" t="s">
        <v>83</v>
      </c>
      <c r="G366" t="s">
        <v>19</v>
      </c>
      <c r="H366" t="s">
        <v>20</v>
      </c>
      <c r="I366">
        <v>141239</v>
      </c>
      <c r="J366">
        <v>7</v>
      </c>
      <c r="K366">
        <v>3.6</v>
      </c>
      <c r="L366">
        <v>7</v>
      </c>
      <c r="M366" t="s">
        <v>55</v>
      </c>
    </row>
    <row r="367" spans="1:13">
      <c r="A367" t="s">
        <v>691</v>
      </c>
      <c r="B367" t="s">
        <v>692</v>
      </c>
      <c r="C367" t="s">
        <v>170</v>
      </c>
      <c r="D367" t="s">
        <v>218</v>
      </c>
      <c r="E367" t="s">
        <v>17</v>
      </c>
      <c r="F367" t="s">
        <v>53</v>
      </c>
      <c r="G367" t="s">
        <v>54</v>
      </c>
      <c r="H367" t="s">
        <v>29</v>
      </c>
      <c r="I367">
        <v>10212</v>
      </c>
      <c r="J367">
        <v>6</v>
      </c>
      <c r="K367">
        <v>3.9</v>
      </c>
      <c r="L367">
        <v>4</v>
      </c>
      <c r="M367" t="s">
        <v>47</v>
      </c>
    </row>
    <row r="368" spans="1:13">
      <c r="A368" t="s">
        <v>693</v>
      </c>
      <c r="B368" t="s">
        <v>595</v>
      </c>
      <c r="C368" t="s">
        <v>72</v>
      </c>
      <c r="D368" t="s">
        <v>109</v>
      </c>
      <c r="E368" t="s">
        <v>52</v>
      </c>
      <c r="F368" t="s">
        <v>27</v>
      </c>
      <c r="G368" t="s">
        <v>54</v>
      </c>
      <c r="H368" t="s">
        <v>36</v>
      </c>
      <c r="I368">
        <v>6776</v>
      </c>
      <c r="J368">
        <v>8</v>
      </c>
      <c r="K368">
        <v>3.6</v>
      </c>
      <c r="L368">
        <v>6</v>
      </c>
      <c r="M368" t="s">
        <v>192</v>
      </c>
    </row>
    <row r="369" spans="1:13">
      <c r="A369" t="s">
        <v>694</v>
      </c>
      <c r="B369" t="s">
        <v>673</v>
      </c>
      <c r="C369" t="s">
        <v>170</v>
      </c>
      <c r="D369" t="s">
        <v>86</v>
      </c>
      <c r="E369" t="s">
        <v>17</v>
      </c>
      <c r="F369" t="s">
        <v>83</v>
      </c>
      <c r="G369" t="s">
        <v>19</v>
      </c>
      <c r="H369" t="s">
        <v>20</v>
      </c>
      <c r="I369">
        <v>2667</v>
      </c>
      <c r="J369">
        <v>3</v>
      </c>
      <c r="K369">
        <v>4</v>
      </c>
      <c r="L369">
        <v>1</v>
      </c>
      <c r="M369" t="s">
        <v>192</v>
      </c>
    </row>
    <row r="370" spans="1:13">
      <c r="A370" t="s">
        <v>695</v>
      </c>
      <c r="B370" t="s">
        <v>149</v>
      </c>
      <c r="C370" t="s">
        <v>103</v>
      </c>
      <c r="D370" t="s">
        <v>59</v>
      </c>
      <c r="E370" t="s">
        <v>26</v>
      </c>
      <c r="F370" t="s">
        <v>83</v>
      </c>
      <c r="G370" t="s">
        <v>54</v>
      </c>
      <c r="H370" t="s">
        <v>29</v>
      </c>
      <c r="I370">
        <v>82808</v>
      </c>
      <c r="J370">
        <v>8</v>
      </c>
      <c r="K370">
        <v>4.8</v>
      </c>
      <c r="L370">
        <v>1</v>
      </c>
      <c r="M370" t="s">
        <v>30</v>
      </c>
    </row>
    <row r="371" spans="1:13">
      <c r="A371" t="s">
        <v>696</v>
      </c>
      <c r="B371" t="s">
        <v>697</v>
      </c>
      <c r="C371" t="s">
        <v>68</v>
      </c>
      <c r="D371" t="s">
        <v>109</v>
      </c>
      <c r="E371" t="s">
        <v>52</v>
      </c>
      <c r="F371" t="s">
        <v>18</v>
      </c>
      <c r="G371" t="s">
        <v>104</v>
      </c>
      <c r="H371" t="s">
        <v>64</v>
      </c>
      <c r="I371">
        <v>2272</v>
      </c>
      <c r="J371">
        <v>8</v>
      </c>
      <c r="K371">
        <v>3.7</v>
      </c>
      <c r="L371">
        <v>6</v>
      </c>
      <c r="M371" t="s">
        <v>144</v>
      </c>
    </row>
    <row r="372" spans="1:13">
      <c r="A372" t="s">
        <v>698</v>
      </c>
      <c r="B372" t="s">
        <v>62</v>
      </c>
      <c r="C372" t="s">
        <v>78</v>
      </c>
      <c r="D372" t="s">
        <v>51</v>
      </c>
      <c r="E372" t="s">
        <v>52</v>
      </c>
      <c r="F372" t="s">
        <v>27</v>
      </c>
      <c r="G372" t="s">
        <v>54</v>
      </c>
      <c r="H372" t="s">
        <v>36</v>
      </c>
      <c r="I372">
        <v>4470</v>
      </c>
      <c r="J372">
        <v>2</v>
      </c>
      <c r="K372">
        <v>3.5</v>
      </c>
      <c r="L372">
        <v>8</v>
      </c>
      <c r="M372" t="s">
        <v>65</v>
      </c>
    </row>
    <row r="373" spans="1:13">
      <c r="A373" t="s">
        <v>699</v>
      </c>
      <c r="B373" t="s">
        <v>124</v>
      </c>
      <c r="C373" t="s">
        <v>122</v>
      </c>
      <c r="D373" t="s">
        <v>109</v>
      </c>
      <c r="E373" t="s">
        <v>52</v>
      </c>
      <c r="F373" t="s">
        <v>100</v>
      </c>
      <c r="G373" t="s">
        <v>104</v>
      </c>
      <c r="H373" t="s">
        <v>36</v>
      </c>
      <c r="I373">
        <v>7144</v>
      </c>
      <c r="J373">
        <v>8</v>
      </c>
      <c r="K373">
        <v>3.8</v>
      </c>
      <c r="L373">
        <v>5</v>
      </c>
      <c r="M373" t="s">
        <v>126</v>
      </c>
    </row>
    <row r="374" spans="1:13">
      <c r="A374" t="s">
        <v>700</v>
      </c>
      <c r="B374" t="s">
        <v>308</v>
      </c>
      <c r="C374" t="s">
        <v>112</v>
      </c>
      <c r="D374" t="s">
        <v>97</v>
      </c>
      <c r="E374" t="s">
        <v>35</v>
      </c>
      <c r="F374" t="s">
        <v>27</v>
      </c>
      <c r="G374" t="s">
        <v>19</v>
      </c>
      <c r="H374" t="s">
        <v>64</v>
      </c>
      <c r="I374">
        <v>236490</v>
      </c>
      <c r="J374">
        <v>5</v>
      </c>
      <c r="K374">
        <v>3.4</v>
      </c>
      <c r="L374">
        <v>7</v>
      </c>
      <c r="M374" t="s">
        <v>144</v>
      </c>
    </row>
    <row r="375" spans="1:13">
      <c r="A375" t="s">
        <v>701</v>
      </c>
      <c r="B375" t="s">
        <v>702</v>
      </c>
      <c r="C375" t="s">
        <v>58</v>
      </c>
      <c r="D375" t="s">
        <v>63</v>
      </c>
      <c r="E375" t="s">
        <v>52</v>
      </c>
      <c r="F375" t="s">
        <v>100</v>
      </c>
      <c r="G375" t="s">
        <v>19</v>
      </c>
      <c r="H375" t="s">
        <v>20</v>
      </c>
      <c r="I375">
        <v>7990</v>
      </c>
      <c r="J375">
        <v>5</v>
      </c>
      <c r="K375">
        <v>3.6</v>
      </c>
      <c r="L375">
        <v>3</v>
      </c>
      <c r="M375" t="s">
        <v>47</v>
      </c>
    </row>
    <row r="376" spans="1:13">
      <c r="A376" t="s">
        <v>703</v>
      </c>
      <c r="B376" t="s">
        <v>363</v>
      </c>
      <c r="C376" t="s">
        <v>24</v>
      </c>
      <c r="D376" t="s">
        <v>165</v>
      </c>
      <c r="E376" t="s">
        <v>35</v>
      </c>
      <c r="F376" t="s">
        <v>53</v>
      </c>
      <c r="G376" t="s">
        <v>19</v>
      </c>
      <c r="H376" t="s">
        <v>36</v>
      </c>
      <c r="I376">
        <v>308798</v>
      </c>
      <c r="J376">
        <v>7</v>
      </c>
      <c r="K376">
        <v>4.2</v>
      </c>
      <c r="L376">
        <v>2</v>
      </c>
      <c r="M376" t="s">
        <v>80</v>
      </c>
    </row>
    <row r="377" spans="1:13">
      <c r="A377" t="s">
        <v>704</v>
      </c>
      <c r="B377" t="s">
        <v>705</v>
      </c>
      <c r="C377" t="s">
        <v>45</v>
      </c>
      <c r="D377" t="s">
        <v>97</v>
      </c>
      <c r="E377" t="s">
        <v>35</v>
      </c>
      <c r="F377" t="s">
        <v>100</v>
      </c>
      <c r="G377" t="s">
        <v>104</v>
      </c>
      <c r="H377" t="s">
        <v>20</v>
      </c>
      <c r="I377">
        <v>112085</v>
      </c>
      <c r="J377">
        <v>5</v>
      </c>
      <c r="K377">
        <v>3.4</v>
      </c>
      <c r="L377">
        <v>1</v>
      </c>
      <c r="M377" t="s">
        <v>55</v>
      </c>
    </row>
    <row r="378" spans="1:13">
      <c r="A378" t="s">
        <v>706</v>
      </c>
      <c r="B378" t="s">
        <v>178</v>
      </c>
      <c r="C378" t="s">
        <v>129</v>
      </c>
      <c r="D378" t="s">
        <v>79</v>
      </c>
      <c r="E378" t="s">
        <v>26</v>
      </c>
      <c r="F378" t="s">
        <v>83</v>
      </c>
      <c r="G378" t="s">
        <v>28</v>
      </c>
      <c r="H378" t="s">
        <v>64</v>
      </c>
      <c r="I378">
        <v>9030</v>
      </c>
      <c r="J378">
        <v>1</v>
      </c>
      <c r="K378">
        <v>4.7</v>
      </c>
      <c r="L378">
        <v>8</v>
      </c>
      <c r="M378" t="s">
        <v>37</v>
      </c>
    </row>
    <row r="379" spans="1:13">
      <c r="A379" t="s">
        <v>707</v>
      </c>
      <c r="B379" t="s">
        <v>708</v>
      </c>
      <c r="C379" t="s">
        <v>179</v>
      </c>
      <c r="D379" t="s">
        <v>159</v>
      </c>
      <c r="E379" t="s">
        <v>42</v>
      </c>
      <c r="F379" t="s">
        <v>83</v>
      </c>
      <c r="G379" t="s">
        <v>54</v>
      </c>
      <c r="H379" t="s">
        <v>20</v>
      </c>
      <c r="I379">
        <v>3288</v>
      </c>
      <c r="J379">
        <v>4</v>
      </c>
      <c r="K379">
        <v>4.9000000000000004</v>
      </c>
      <c r="L379">
        <v>4</v>
      </c>
      <c r="M379" t="s">
        <v>80</v>
      </c>
    </row>
    <row r="380" spans="1:13">
      <c r="A380" t="s">
        <v>709</v>
      </c>
      <c r="B380" t="s">
        <v>523</v>
      </c>
      <c r="C380" t="s">
        <v>170</v>
      </c>
      <c r="D380" t="s">
        <v>90</v>
      </c>
      <c r="E380" t="s">
        <v>42</v>
      </c>
      <c r="F380" t="s">
        <v>60</v>
      </c>
      <c r="G380" t="s">
        <v>54</v>
      </c>
      <c r="H380" t="s">
        <v>36</v>
      </c>
      <c r="I380">
        <v>24096</v>
      </c>
      <c r="J380">
        <v>6</v>
      </c>
      <c r="K380">
        <v>4.3</v>
      </c>
      <c r="L380">
        <v>7</v>
      </c>
      <c r="M380" t="s">
        <v>119</v>
      </c>
    </row>
    <row r="381" spans="1:13">
      <c r="A381" t="s">
        <v>710</v>
      </c>
      <c r="B381" t="s">
        <v>666</v>
      </c>
      <c r="C381" t="s">
        <v>179</v>
      </c>
      <c r="D381" t="s">
        <v>90</v>
      </c>
      <c r="E381" t="s">
        <v>42</v>
      </c>
      <c r="F381" t="s">
        <v>53</v>
      </c>
      <c r="G381" t="s">
        <v>28</v>
      </c>
      <c r="H381" t="s">
        <v>64</v>
      </c>
      <c r="I381">
        <v>4084</v>
      </c>
      <c r="J381">
        <v>4</v>
      </c>
      <c r="K381">
        <v>3.9</v>
      </c>
      <c r="L381">
        <v>1</v>
      </c>
      <c r="M381" t="s">
        <v>144</v>
      </c>
    </row>
    <row r="382" spans="1:13">
      <c r="A382" t="s">
        <v>711</v>
      </c>
      <c r="B382" t="s">
        <v>158</v>
      </c>
      <c r="C382" t="s">
        <v>146</v>
      </c>
      <c r="D382" t="s">
        <v>130</v>
      </c>
      <c r="E382" t="s">
        <v>35</v>
      </c>
      <c r="F382" t="s">
        <v>18</v>
      </c>
      <c r="G382" t="s">
        <v>54</v>
      </c>
      <c r="H382" t="s">
        <v>20</v>
      </c>
      <c r="I382">
        <v>248592</v>
      </c>
      <c r="J382">
        <v>3</v>
      </c>
      <c r="K382">
        <v>4.8</v>
      </c>
      <c r="L382">
        <v>8</v>
      </c>
      <c r="M382" t="s">
        <v>47</v>
      </c>
    </row>
    <row r="383" spans="1:13">
      <c r="A383" t="s">
        <v>712</v>
      </c>
      <c r="B383" t="s">
        <v>713</v>
      </c>
      <c r="C383" t="s">
        <v>146</v>
      </c>
      <c r="D383" t="s">
        <v>79</v>
      </c>
      <c r="E383" t="s">
        <v>26</v>
      </c>
      <c r="F383" t="s">
        <v>18</v>
      </c>
      <c r="G383" t="s">
        <v>104</v>
      </c>
      <c r="H383" t="s">
        <v>29</v>
      </c>
      <c r="I383">
        <v>57631</v>
      </c>
      <c r="J383">
        <v>7</v>
      </c>
      <c r="K383">
        <v>4.3</v>
      </c>
      <c r="L383">
        <v>4</v>
      </c>
      <c r="M383" t="s">
        <v>55</v>
      </c>
    </row>
    <row r="384" spans="1:13">
      <c r="A384" t="s">
        <v>714</v>
      </c>
      <c r="B384" t="s">
        <v>359</v>
      </c>
      <c r="C384" t="s">
        <v>50</v>
      </c>
      <c r="D384" t="s">
        <v>147</v>
      </c>
      <c r="E384" t="s">
        <v>52</v>
      </c>
      <c r="F384" t="s">
        <v>100</v>
      </c>
      <c r="G384" t="s">
        <v>28</v>
      </c>
      <c r="H384" t="s">
        <v>36</v>
      </c>
      <c r="I384">
        <v>4180</v>
      </c>
      <c r="J384">
        <v>2</v>
      </c>
      <c r="K384">
        <v>4.5</v>
      </c>
      <c r="L384">
        <v>3</v>
      </c>
      <c r="M384" t="s">
        <v>87</v>
      </c>
    </row>
    <row r="385" spans="1:13">
      <c r="A385" t="s">
        <v>715</v>
      </c>
      <c r="B385" t="s">
        <v>716</v>
      </c>
      <c r="C385" t="s">
        <v>40</v>
      </c>
      <c r="D385" t="s">
        <v>109</v>
      </c>
      <c r="E385" t="s">
        <v>52</v>
      </c>
      <c r="F385" t="s">
        <v>27</v>
      </c>
      <c r="G385" t="s">
        <v>19</v>
      </c>
      <c r="H385" t="s">
        <v>36</v>
      </c>
      <c r="I385">
        <v>2526</v>
      </c>
      <c r="J385">
        <v>3</v>
      </c>
      <c r="K385">
        <v>3.8</v>
      </c>
      <c r="L385">
        <v>8</v>
      </c>
      <c r="M385" t="s">
        <v>30</v>
      </c>
    </row>
    <row r="386" spans="1:13">
      <c r="A386" t="s">
        <v>717</v>
      </c>
      <c r="B386" t="s">
        <v>361</v>
      </c>
      <c r="C386" t="s">
        <v>122</v>
      </c>
      <c r="D386" t="s">
        <v>63</v>
      </c>
      <c r="E386" t="s">
        <v>52</v>
      </c>
      <c r="F386" t="s">
        <v>83</v>
      </c>
      <c r="G386" t="s">
        <v>28</v>
      </c>
      <c r="H386" t="s">
        <v>64</v>
      </c>
      <c r="I386">
        <v>10640</v>
      </c>
      <c r="J386">
        <v>5</v>
      </c>
      <c r="K386">
        <v>4.7</v>
      </c>
      <c r="L386">
        <v>8</v>
      </c>
      <c r="M386" t="s">
        <v>144</v>
      </c>
    </row>
    <row r="387" spans="1:13">
      <c r="A387" t="s">
        <v>718</v>
      </c>
      <c r="B387" t="s">
        <v>290</v>
      </c>
      <c r="C387" t="s">
        <v>33</v>
      </c>
      <c r="D387" t="s">
        <v>90</v>
      </c>
      <c r="E387" t="s">
        <v>42</v>
      </c>
      <c r="F387" t="s">
        <v>83</v>
      </c>
      <c r="G387" t="s">
        <v>19</v>
      </c>
      <c r="H387" t="s">
        <v>36</v>
      </c>
      <c r="I387">
        <v>5777</v>
      </c>
      <c r="J387">
        <v>1</v>
      </c>
      <c r="K387">
        <v>4.2</v>
      </c>
      <c r="L387">
        <v>4</v>
      </c>
      <c r="M387" t="s">
        <v>87</v>
      </c>
    </row>
    <row r="388" spans="1:13">
      <c r="A388" t="s">
        <v>719</v>
      </c>
      <c r="B388" t="s">
        <v>404</v>
      </c>
      <c r="C388" t="s">
        <v>24</v>
      </c>
      <c r="D388" t="s">
        <v>113</v>
      </c>
      <c r="E388" t="s">
        <v>35</v>
      </c>
      <c r="F388" t="s">
        <v>27</v>
      </c>
      <c r="G388" t="s">
        <v>104</v>
      </c>
      <c r="H388" t="s">
        <v>20</v>
      </c>
      <c r="I388">
        <v>45899</v>
      </c>
      <c r="J388">
        <v>1</v>
      </c>
      <c r="K388">
        <v>3.4</v>
      </c>
      <c r="L388">
        <v>3</v>
      </c>
      <c r="M388" t="s">
        <v>80</v>
      </c>
    </row>
    <row r="389" spans="1:13">
      <c r="A389" t="s">
        <v>720</v>
      </c>
      <c r="B389" t="s">
        <v>603</v>
      </c>
      <c r="C389" t="s">
        <v>40</v>
      </c>
      <c r="D389" t="s">
        <v>46</v>
      </c>
      <c r="E389" t="s">
        <v>42</v>
      </c>
      <c r="F389" t="s">
        <v>60</v>
      </c>
      <c r="G389" t="s">
        <v>19</v>
      </c>
      <c r="H389" t="s">
        <v>36</v>
      </c>
      <c r="I389">
        <v>7608</v>
      </c>
      <c r="J389">
        <v>2</v>
      </c>
      <c r="K389">
        <v>4.5999999999999996</v>
      </c>
      <c r="L389">
        <v>2</v>
      </c>
      <c r="M389" t="s">
        <v>144</v>
      </c>
    </row>
    <row r="390" spans="1:13">
      <c r="A390" t="s">
        <v>721</v>
      </c>
      <c r="B390" t="s">
        <v>722</v>
      </c>
      <c r="C390" t="s">
        <v>125</v>
      </c>
      <c r="D390" t="s">
        <v>130</v>
      </c>
      <c r="E390" t="s">
        <v>35</v>
      </c>
      <c r="F390" t="s">
        <v>27</v>
      </c>
      <c r="G390" t="s">
        <v>104</v>
      </c>
      <c r="H390" t="s">
        <v>64</v>
      </c>
      <c r="I390">
        <v>209300</v>
      </c>
      <c r="J390">
        <v>7</v>
      </c>
      <c r="K390">
        <v>3.4</v>
      </c>
      <c r="L390">
        <v>2</v>
      </c>
      <c r="M390" t="s">
        <v>65</v>
      </c>
    </row>
    <row r="391" spans="1:13">
      <c r="A391" t="s">
        <v>723</v>
      </c>
      <c r="B391" t="s">
        <v>533</v>
      </c>
      <c r="C391" t="s">
        <v>45</v>
      </c>
      <c r="D391" t="s">
        <v>59</v>
      </c>
      <c r="E391" t="s">
        <v>26</v>
      </c>
      <c r="F391" t="s">
        <v>83</v>
      </c>
      <c r="G391" t="s">
        <v>104</v>
      </c>
      <c r="H391" t="s">
        <v>20</v>
      </c>
      <c r="I391">
        <v>53724</v>
      </c>
      <c r="J391">
        <v>6</v>
      </c>
      <c r="K391">
        <v>4.0999999999999996</v>
      </c>
      <c r="L391">
        <v>3</v>
      </c>
      <c r="M391" t="s">
        <v>21</v>
      </c>
    </row>
    <row r="392" spans="1:13">
      <c r="A392" t="s">
        <v>724</v>
      </c>
      <c r="B392" t="s">
        <v>143</v>
      </c>
      <c r="C392" t="s">
        <v>129</v>
      </c>
      <c r="D392" t="s">
        <v>16</v>
      </c>
      <c r="E392" t="s">
        <v>17</v>
      </c>
      <c r="F392" t="s">
        <v>100</v>
      </c>
      <c r="G392" t="s">
        <v>19</v>
      </c>
      <c r="H392" t="s">
        <v>36</v>
      </c>
      <c r="I392">
        <v>12640</v>
      </c>
      <c r="J392">
        <v>8</v>
      </c>
      <c r="K392">
        <v>3.9</v>
      </c>
      <c r="L392">
        <v>6</v>
      </c>
      <c r="M392" t="s">
        <v>144</v>
      </c>
    </row>
    <row r="393" spans="1:13">
      <c r="A393" t="s">
        <v>725</v>
      </c>
      <c r="B393" t="s">
        <v>135</v>
      </c>
      <c r="C393" t="s">
        <v>170</v>
      </c>
      <c r="D393" t="s">
        <v>109</v>
      </c>
      <c r="E393" t="s">
        <v>52</v>
      </c>
      <c r="F393" t="s">
        <v>53</v>
      </c>
      <c r="G393" t="s">
        <v>28</v>
      </c>
      <c r="H393" t="s">
        <v>36</v>
      </c>
      <c r="I393">
        <v>2958</v>
      </c>
      <c r="J393">
        <v>2</v>
      </c>
      <c r="K393">
        <v>4.5999999999999996</v>
      </c>
      <c r="L393">
        <v>2</v>
      </c>
      <c r="M393" t="s">
        <v>21</v>
      </c>
    </row>
    <row r="394" spans="1:13">
      <c r="A394" t="s">
        <v>726</v>
      </c>
      <c r="B394" t="s">
        <v>727</v>
      </c>
      <c r="C394" t="s">
        <v>146</v>
      </c>
      <c r="D394" t="s">
        <v>63</v>
      </c>
      <c r="E394" t="s">
        <v>52</v>
      </c>
      <c r="F394" t="s">
        <v>100</v>
      </c>
      <c r="G394" t="s">
        <v>104</v>
      </c>
      <c r="H394" t="s">
        <v>64</v>
      </c>
      <c r="I394">
        <v>13272</v>
      </c>
      <c r="J394">
        <v>6</v>
      </c>
      <c r="K394">
        <v>3.4</v>
      </c>
      <c r="L394">
        <v>3</v>
      </c>
      <c r="M394" t="s">
        <v>126</v>
      </c>
    </row>
    <row r="395" spans="1:13">
      <c r="A395" t="s">
        <v>728</v>
      </c>
      <c r="B395" t="s">
        <v>729</v>
      </c>
      <c r="C395" t="s">
        <v>129</v>
      </c>
      <c r="D395" t="s">
        <v>41</v>
      </c>
      <c r="E395" t="s">
        <v>42</v>
      </c>
      <c r="F395" t="s">
        <v>18</v>
      </c>
      <c r="G395" t="s">
        <v>19</v>
      </c>
      <c r="H395" t="s">
        <v>29</v>
      </c>
      <c r="I395">
        <v>25445</v>
      </c>
      <c r="J395">
        <v>5</v>
      </c>
      <c r="K395">
        <v>3.6</v>
      </c>
      <c r="L395">
        <v>6</v>
      </c>
      <c r="M395" t="s">
        <v>65</v>
      </c>
    </row>
    <row r="396" spans="1:13">
      <c r="A396" t="s">
        <v>730</v>
      </c>
      <c r="B396" t="s">
        <v>731</v>
      </c>
      <c r="C396" t="s">
        <v>170</v>
      </c>
      <c r="D396" t="s">
        <v>218</v>
      </c>
      <c r="E396" t="s">
        <v>17</v>
      </c>
      <c r="F396" t="s">
        <v>27</v>
      </c>
      <c r="G396" t="s">
        <v>54</v>
      </c>
      <c r="H396" t="s">
        <v>29</v>
      </c>
      <c r="I396">
        <v>4407</v>
      </c>
      <c r="J396">
        <v>3</v>
      </c>
      <c r="K396">
        <v>4.8</v>
      </c>
      <c r="L396">
        <v>5</v>
      </c>
      <c r="M396" t="s">
        <v>55</v>
      </c>
    </row>
    <row r="397" spans="1:13">
      <c r="A397" t="s">
        <v>732</v>
      </c>
      <c r="B397" t="s">
        <v>220</v>
      </c>
      <c r="C397" t="s">
        <v>129</v>
      </c>
      <c r="D397" t="s">
        <v>41</v>
      </c>
      <c r="E397" t="s">
        <v>42</v>
      </c>
      <c r="F397" t="s">
        <v>18</v>
      </c>
      <c r="G397" t="s">
        <v>19</v>
      </c>
      <c r="H397" t="s">
        <v>36</v>
      </c>
      <c r="I397">
        <v>9880</v>
      </c>
      <c r="J397">
        <v>4</v>
      </c>
      <c r="K397">
        <v>3.7</v>
      </c>
      <c r="L397">
        <v>2</v>
      </c>
      <c r="M397" t="s">
        <v>65</v>
      </c>
    </row>
    <row r="398" spans="1:13">
      <c r="A398" t="s">
        <v>733</v>
      </c>
      <c r="B398" t="s">
        <v>734</v>
      </c>
      <c r="C398" t="s">
        <v>68</v>
      </c>
      <c r="D398" t="s">
        <v>41</v>
      </c>
      <c r="E398" t="s">
        <v>42</v>
      </c>
      <c r="F398" t="s">
        <v>100</v>
      </c>
      <c r="G398" t="s">
        <v>19</v>
      </c>
      <c r="H398" t="s">
        <v>20</v>
      </c>
      <c r="I398">
        <v>14967</v>
      </c>
      <c r="J398">
        <v>3</v>
      </c>
      <c r="K398">
        <v>4.5999999999999996</v>
      </c>
      <c r="L398">
        <v>3</v>
      </c>
      <c r="M398" t="s">
        <v>65</v>
      </c>
    </row>
    <row r="399" spans="1:13">
      <c r="A399" t="s">
        <v>735</v>
      </c>
      <c r="B399" t="s">
        <v>454</v>
      </c>
      <c r="C399" t="s">
        <v>68</v>
      </c>
      <c r="D399" t="s">
        <v>116</v>
      </c>
      <c r="E399" t="s">
        <v>17</v>
      </c>
      <c r="F399" t="s">
        <v>100</v>
      </c>
      <c r="G399" t="s">
        <v>104</v>
      </c>
      <c r="H399" t="s">
        <v>36</v>
      </c>
      <c r="I399">
        <v>616</v>
      </c>
      <c r="J399">
        <v>2</v>
      </c>
      <c r="K399">
        <v>3.8</v>
      </c>
      <c r="L399">
        <v>1</v>
      </c>
      <c r="M399" t="s">
        <v>55</v>
      </c>
    </row>
    <row r="400" spans="1:13">
      <c r="A400" t="s">
        <v>736</v>
      </c>
      <c r="B400" t="s">
        <v>737</v>
      </c>
      <c r="C400" t="s">
        <v>68</v>
      </c>
      <c r="D400" t="s">
        <v>59</v>
      </c>
      <c r="E400" t="s">
        <v>26</v>
      </c>
      <c r="F400" t="s">
        <v>53</v>
      </c>
      <c r="G400" t="s">
        <v>19</v>
      </c>
      <c r="H400" t="s">
        <v>20</v>
      </c>
      <c r="I400">
        <v>21328</v>
      </c>
      <c r="J400">
        <v>4</v>
      </c>
      <c r="K400">
        <v>4.2</v>
      </c>
      <c r="L400">
        <v>8</v>
      </c>
      <c r="M400" t="s">
        <v>192</v>
      </c>
    </row>
    <row r="401" spans="1:13">
      <c r="A401" t="s">
        <v>738</v>
      </c>
      <c r="B401" t="s">
        <v>739</v>
      </c>
      <c r="C401" t="s">
        <v>58</v>
      </c>
      <c r="D401" t="s">
        <v>113</v>
      </c>
      <c r="E401" t="s">
        <v>35</v>
      </c>
      <c r="F401" t="s">
        <v>83</v>
      </c>
      <c r="G401" t="s">
        <v>19</v>
      </c>
      <c r="H401" t="s">
        <v>36</v>
      </c>
      <c r="I401">
        <v>96832</v>
      </c>
      <c r="J401">
        <v>2</v>
      </c>
      <c r="K401">
        <v>3.7</v>
      </c>
      <c r="L401">
        <v>5</v>
      </c>
      <c r="M401" t="s">
        <v>144</v>
      </c>
    </row>
    <row r="402" spans="1:13">
      <c r="A402" t="s">
        <v>740</v>
      </c>
      <c r="B402" t="s">
        <v>624</v>
      </c>
      <c r="C402" t="s">
        <v>33</v>
      </c>
      <c r="D402" t="s">
        <v>165</v>
      </c>
      <c r="E402" t="s">
        <v>35</v>
      </c>
      <c r="F402" t="s">
        <v>18</v>
      </c>
      <c r="G402" t="s">
        <v>28</v>
      </c>
      <c r="H402" t="s">
        <v>64</v>
      </c>
      <c r="I402">
        <v>50400</v>
      </c>
      <c r="J402">
        <v>8</v>
      </c>
      <c r="K402">
        <v>3.3</v>
      </c>
      <c r="L402">
        <v>7</v>
      </c>
      <c r="M402" t="s">
        <v>126</v>
      </c>
    </row>
    <row r="403" spans="1:13">
      <c r="A403" t="s">
        <v>741</v>
      </c>
      <c r="B403" t="s">
        <v>595</v>
      </c>
      <c r="C403" t="s">
        <v>58</v>
      </c>
      <c r="D403" t="s">
        <v>51</v>
      </c>
      <c r="E403" t="s">
        <v>52</v>
      </c>
      <c r="F403" t="s">
        <v>83</v>
      </c>
      <c r="G403" t="s">
        <v>54</v>
      </c>
      <c r="H403" t="s">
        <v>64</v>
      </c>
      <c r="I403">
        <v>9666</v>
      </c>
      <c r="J403">
        <v>6</v>
      </c>
      <c r="K403">
        <v>5</v>
      </c>
      <c r="L403">
        <v>8</v>
      </c>
      <c r="M403" t="s">
        <v>192</v>
      </c>
    </row>
    <row r="404" spans="1:13">
      <c r="A404" t="s">
        <v>742</v>
      </c>
      <c r="B404" t="s">
        <v>743</v>
      </c>
      <c r="C404" t="s">
        <v>50</v>
      </c>
      <c r="D404" t="s">
        <v>116</v>
      </c>
      <c r="E404" t="s">
        <v>17</v>
      </c>
      <c r="F404" t="s">
        <v>83</v>
      </c>
      <c r="G404" t="s">
        <v>104</v>
      </c>
      <c r="H404" t="s">
        <v>29</v>
      </c>
      <c r="I404">
        <v>10104</v>
      </c>
      <c r="J404">
        <v>8</v>
      </c>
      <c r="K404">
        <v>3.7</v>
      </c>
      <c r="L404">
        <v>6</v>
      </c>
      <c r="M404" t="s">
        <v>126</v>
      </c>
    </row>
    <row r="405" spans="1:13">
      <c r="A405" t="s">
        <v>744</v>
      </c>
      <c r="B405" t="s">
        <v>308</v>
      </c>
      <c r="C405" t="s">
        <v>129</v>
      </c>
      <c r="D405" t="s">
        <v>90</v>
      </c>
      <c r="E405" t="s">
        <v>42</v>
      </c>
      <c r="F405" t="s">
        <v>100</v>
      </c>
      <c r="G405" t="s">
        <v>19</v>
      </c>
      <c r="H405" t="s">
        <v>36</v>
      </c>
      <c r="I405">
        <v>9242</v>
      </c>
      <c r="J405">
        <v>2</v>
      </c>
      <c r="K405">
        <v>4.7</v>
      </c>
      <c r="L405">
        <v>5</v>
      </c>
      <c r="M405" t="s">
        <v>144</v>
      </c>
    </row>
    <row r="406" spans="1:13">
      <c r="A406" t="s">
        <v>745</v>
      </c>
      <c r="B406" t="s">
        <v>681</v>
      </c>
      <c r="C406" t="s">
        <v>78</v>
      </c>
      <c r="D406" t="s">
        <v>41</v>
      </c>
      <c r="E406" t="s">
        <v>42</v>
      </c>
      <c r="F406" t="s">
        <v>83</v>
      </c>
      <c r="G406" t="s">
        <v>28</v>
      </c>
      <c r="H406" t="s">
        <v>64</v>
      </c>
      <c r="I406">
        <v>7966</v>
      </c>
      <c r="J406">
        <v>2</v>
      </c>
      <c r="K406">
        <v>3.9</v>
      </c>
      <c r="L406">
        <v>4</v>
      </c>
      <c r="M406" t="s">
        <v>126</v>
      </c>
    </row>
    <row r="407" spans="1:13">
      <c r="A407" t="s">
        <v>746</v>
      </c>
      <c r="B407" t="s">
        <v>475</v>
      </c>
      <c r="C407" t="s">
        <v>58</v>
      </c>
      <c r="D407" t="s">
        <v>218</v>
      </c>
      <c r="E407" t="s">
        <v>17</v>
      </c>
      <c r="F407" t="s">
        <v>60</v>
      </c>
      <c r="G407" t="s">
        <v>54</v>
      </c>
      <c r="H407" t="s">
        <v>64</v>
      </c>
      <c r="I407">
        <v>8337</v>
      </c>
      <c r="J407">
        <v>7</v>
      </c>
      <c r="K407">
        <v>4.4000000000000004</v>
      </c>
      <c r="L407">
        <v>2</v>
      </c>
      <c r="M407" t="s">
        <v>37</v>
      </c>
    </row>
    <row r="408" spans="1:13">
      <c r="A408" t="s">
        <v>747</v>
      </c>
      <c r="B408" t="s">
        <v>564</v>
      </c>
      <c r="C408" t="s">
        <v>170</v>
      </c>
      <c r="D408" t="s">
        <v>165</v>
      </c>
      <c r="E408" t="s">
        <v>35</v>
      </c>
      <c r="F408" t="s">
        <v>60</v>
      </c>
      <c r="G408" t="s">
        <v>54</v>
      </c>
      <c r="H408" t="s">
        <v>36</v>
      </c>
      <c r="I408">
        <v>445504</v>
      </c>
      <c r="J408">
        <v>8</v>
      </c>
      <c r="K408">
        <v>3.4</v>
      </c>
      <c r="L408">
        <v>7</v>
      </c>
      <c r="M408" t="s">
        <v>87</v>
      </c>
    </row>
    <row r="409" spans="1:13">
      <c r="A409" t="s">
        <v>748</v>
      </c>
      <c r="B409" t="s">
        <v>640</v>
      </c>
      <c r="C409" t="s">
        <v>179</v>
      </c>
      <c r="D409" t="s">
        <v>63</v>
      </c>
      <c r="E409" t="s">
        <v>52</v>
      </c>
      <c r="F409" t="s">
        <v>83</v>
      </c>
      <c r="G409" t="s">
        <v>104</v>
      </c>
      <c r="H409" t="s">
        <v>29</v>
      </c>
      <c r="I409">
        <v>861</v>
      </c>
      <c r="J409">
        <v>1</v>
      </c>
      <c r="K409">
        <v>3.9</v>
      </c>
      <c r="L409">
        <v>8</v>
      </c>
      <c r="M409" t="s">
        <v>30</v>
      </c>
    </row>
    <row r="410" spans="1:13">
      <c r="A410" t="s">
        <v>749</v>
      </c>
      <c r="B410" t="s">
        <v>391</v>
      </c>
      <c r="C410" t="s">
        <v>33</v>
      </c>
      <c r="D410" t="s">
        <v>59</v>
      </c>
      <c r="E410" t="s">
        <v>26</v>
      </c>
      <c r="F410" t="s">
        <v>53</v>
      </c>
      <c r="G410" t="s">
        <v>54</v>
      </c>
      <c r="H410" t="s">
        <v>36</v>
      </c>
      <c r="I410">
        <v>44532</v>
      </c>
      <c r="J410">
        <v>6</v>
      </c>
      <c r="K410">
        <v>4.7</v>
      </c>
      <c r="L410">
        <v>5</v>
      </c>
      <c r="M410" t="s">
        <v>47</v>
      </c>
    </row>
    <row r="411" spans="1:13">
      <c r="A411" t="s">
        <v>750</v>
      </c>
      <c r="B411" t="s">
        <v>675</v>
      </c>
      <c r="C411" t="s">
        <v>50</v>
      </c>
      <c r="D411" t="s">
        <v>59</v>
      </c>
      <c r="E411" t="s">
        <v>26</v>
      </c>
      <c r="F411" t="s">
        <v>60</v>
      </c>
      <c r="G411" t="s">
        <v>28</v>
      </c>
      <c r="H411" t="s">
        <v>20</v>
      </c>
      <c r="I411">
        <v>36295</v>
      </c>
      <c r="J411">
        <v>5</v>
      </c>
      <c r="K411">
        <v>4.3</v>
      </c>
      <c r="L411">
        <v>7</v>
      </c>
      <c r="M411" t="s">
        <v>87</v>
      </c>
    </row>
    <row r="412" spans="1:13">
      <c r="A412" t="s">
        <v>751</v>
      </c>
      <c r="B412" t="s">
        <v>752</v>
      </c>
      <c r="C412" t="s">
        <v>72</v>
      </c>
      <c r="D412" t="s">
        <v>51</v>
      </c>
      <c r="E412" t="s">
        <v>52</v>
      </c>
      <c r="F412" t="s">
        <v>18</v>
      </c>
      <c r="G412" t="s">
        <v>54</v>
      </c>
      <c r="H412" t="s">
        <v>36</v>
      </c>
      <c r="I412">
        <v>7300</v>
      </c>
      <c r="J412">
        <v>4</v>
      </c>
      <c r="K412">
        <v>3.7</v>
      </c>
      <c r="L412">
        <v>3</v>
      </c>
      <c r="M412" t="s">
        <v>80</v>
      </c>
    </row>
    <row r="413" spans="1:13">
      <c r="A413" t="s">
        <v>753</v>
      </c>
      <c r="B413" t="s">
        <v>275</v>
      </c>
      <c r="C413" t="s">
        <v>45</v>
      </c>
      <c r="D413" t="s">
        <v>51</v>
      </c>
      <c r="E413" t="s">
        <v>52</v>
      </c>
      <c r="F413" t="s">
        <v>83</v>
      </c>
      <c r="G413" t="s">
        <v>28</v>
      </c>
      <c r="H413" t="s">
        <v>64</v>
      </c>
      <c r="I413">
        <v>4172</v>
      </c>
      <c r="J413">
        <v>7</v>
      </c>
      <c r="K413">
        <v>4.7</v>
      </c>
      <c r="L413">
        <v>7</v>
      </c>
      <c r="M413" t="s">
        <v>119</v>
      </c>
    </row>
    <row r="414" spans="1:13">
      <c r="A414" t="s">
        <v>754</v>
      </c>
      <c r="B414" t="s">
        <v>352</v>
      </c>
      <c r="C414" t="s">
        <v>112</v>
      </c>
      <c r="D414" t="s">
        <v>69</v>
      </c>
      <c r="E414" t="s">
        <v>26</v>
      </c>
      <c r="F414" t="s">
        <v>53</v>
      </c>
      <c r="G414" t="s">
        <v>28</v>
      </c>
      <c r="H414" t="s">
        <v>29</v>
      </c>
      <c r="I414">
        <v>5526</v>
      </c>
      <c r="J414">
        <v>6</v>
      </c>
      <c r="K414">
        <v>4.2</v>
      </c>
      <c r="L414">
        <v>4</v>
      </c>
      <c r="M414" t="s">
        <v>55</v>
      </c>
    </row>
    <row r="415" spans="1:13">
      <c r="A415" t="s">
        <v>755</v>
      </c>
      <c r="B415" t="s">
        <v>756</v>
      </c>
      <c r="C415" t="s">
        <v>72</v>
      </c>
      <c r="D415" t="s">
        <v>16</v>
      </c>
      <c r="E415" t="s">
        <v>17</v>
      </c>
      <c r="F415" t="s">
        <v>27</v>
      </c>
      <c r="G415" t="s">
        <v>104</v>
      </c>
      <c r="H415" t="s">
        <v>64</v>
      </c>
      <c r="I415">
        <v>13944</v>
      </c>
      <c r="J415">
        <v>8</v>
      </c>
      <c r="K415">
        <v>4.9000000000000004</v>
      </c>
      <c r="L415">
        <v>2</v>
      </c>
      <c r="M415" t="s">
        <v>30</v>
      </c>
    </row>
    <row r="416" spans="1:13">
      <c r="A416" t="s">
        <v>757</v>
      </c>
      <c r="B416" t="s">
        <v>169</v>
      </c>
      <c r="C416" t="s">
        <v>45</v>
      </c>
      <c r="D416" t="s">
        <v>25</v>
      </c>
      <c r="E416" t="s">
        <v>26</v>
      </c>
      <c r="F416" t="s">
        <v>18</v>
      </c>
      <c r="G416" t="s">
        <v>104</v>
      </c>
      <c r="H416" t="s">
        <v>36</v>
      </c>
      <c r="I416">
        <v>19268</v>
      </c>
      <c r="J416">
        <v>2</v>
      </c>
      <c r="K416">
        <v>4.5999999999999996</v>
      </c>
      <c r="L416">
        <v>5</v>
      </c>
      <c r="M416" t="s">
        <v>65</v>
      </c>
    </row>
    <row r="417" spans="1:13">
      <c r="A417" t="s">
        <v>758</v>
      </c>
      <c r="B417" t="s">
        <v>525</v>
      </c>
      <c r="C417" t="s">
        <v>45</v>
      </c>
      <c r="D417" t="s">
        <v>90</v>
      </c>
      <c r="E417" t="s">
        <v>42</v>
      </c>
      <c r="F417" t="s">
        <v>27</v>
      </c>
      <c r="G417" t="s">
        <v>104</v>
      </c>
      <c r="H417" t="s">
        <v>29</v>
      </c>
      <c r="I417">
        <v>28728</v>
      </c>
      <c r="J417">
        <v>8</v>
      </c>
      <c r="K417">
        <v>3.7</v>
      </c>
      <c r="L417">
        <v>1</v>
      </c>
      <c r="M417" t="s">
        <v>65</v>
      </c>
    </row>
    <row r="418" spans="1:13">
      <c r="A418" t="s">
        <v>759</v>
      </c>
      <c r="B418" t="s">
        <v>760</v>
      </c>
      <c r="C418" t="s">
        <v>72</v>
      </c>
      <c r="D418" t="s">
        <v>116</v>
      </c>
      <c r="E418" t="s">
        <v>17</v>
      </c>
      <c r="F418" t="s">
        <v>100</v>
      </c>
      <c r="G418" t="s">
        <v>54</v>
      </c>
      <c r="H418" t="s">
        <v>29</v>
      </c>
      <c r="I418">
        <v>4419</v>
      </c>
      <c r="J418">
        <v>3</v>
      </c>
      <c r="K418">
        <v>3.7</v>
      </c>
      <c r="L418">
        <v>2</v>
      </c>
      <c r="M418" t="s">
        <v>30</v>
      </c>
    </row>
    <row r="419" spans="1:13">
      <c r="A419" t="s">
        <v>761</v>
      </c>
      <c r="B419" t="s">
        <v>595</v>
      </c>
      <c r="C419" t="s">
        <v>146</v>
      </c>
      <c r="D419" t="s">
        <v>34</v>
      </c>
      <c r="E419" t="s">
        <v>35</v>
      </c>
      <c r="F419" t="s">
        <v>53</v>
      </c>
      <c r="G419" t="s">
        <v>19</v>
      </c>
      <c r="H419" t="s">
        <v>29</v>
      </c>
      <c r="I419">
        <v>21805</v>
      </c>
      <c r="J419">
        <v>5</v>
      </c>
      <c r="K419">
        <v>3.5</v>
      </c>
      <c r="L419">
        <v>3</v>
      </c>
      <c r="M419" t="s">
        <v>192</v>
      </c>
    </row>
    <row r="420" spans="1:13">
      <c r="A420" t="s">
        <v>762</v>
      </c>
      <c r="B420" t="s">
        <v>763</v>
      </c>
      <c r="C420" t="s">
        <v>50</v>
      </c>
      <c r="D420" t="s">
        <v>51</v>
      </c>
      <c r="E420" t="s">
        <v>52</v>
      </c>
      <c r="F420" t="s">
        <v>83</v>
      </c>
      <c r="G420" t="s">
        <v>28</v>
      </c>
      <c r="H420" t="s">
        <v>20</v>
      </c>
      <c r="I420">
        <v>595</v>
      </c>
      <c r="J420">
        <v>1</v>
      </c>
      <c r="K420">
        <v>4.7</v>
      </c>
      <c r="L420">
        <v>7</v>
      </c>
      <c r="M420" t="s">
        <v>37</v>
      </c>
    </row>
    <row r="421" spans="1:13">
      <c r="A421" t="s">
        <v>764</v>
      </c>
      <c r="B421" t="s">
        <v>697</v>
      </c>
      <c r="C421" t="s">
        <v>78</v>
      </c>
      <c r="D421" t="s">
        <v>109</v>
      </c>
      <c r="E421" t="s">
        <v>52</v>
      </c>
      <c r="F421" t="s">
        <v>83</v>
      </c>
      <c r="G421" t="s">
        <v>28</v>
      </c>
      <c r="H421" t="s">
        <v>64</v>
      </c>
      <c r="I421">
        <v>2325</v>
      </c>
      <c r="J421">
        <v>5</v>
      </c>
      <c r="K421">
        <v>4.0999999999999996</v>
      </c>
      <c r="L421">
        <v>8</v>
      </c>
      <c r="M421" t="s">
        <v>144</v>
      </c>
    </row>
    <row r="422" spans="1:13">
      <c r="A422" t="s">
        <v>765</v>
      </c>
      <c r="B422" t="s">
        <v>404</v>
      </c>
      <c r="C422" t="s">
        <v>68</v>
      </c>
      <c r="D422" t="s">
        <v>46</v>
      </c>
      <c r="E422" t="s">
        <v>42</v>
      </c>
      <c r="F422" t="s">
        <v>100</v>
      </c>
      <c r="G422" t="s">
        <v>104</v>
      </c>
      <c r="H422" t="s">
        <v>64</v>
      </c>
      <c r="I422">
        <v>26803</v>
      </c>
      <c r="J422">
        <v>7</v>
      </c>
      <c r="K422">
        <v>3.8</v>
      </c>
      <c r="L422">
        <v>1</v>
      </c>
      <c r="M422" t="s">
        <v>80</v>
      </c>
    </row>
    <row r="423" spans="1:13">
      <c r="A423" t="s">
        <v>766</v>
      </c>
      <c r="B423" t="s">
        <v>462</v>
      </c>
      <c r="C423" t="s">
        <v>58</v>
      </c>
      <c r="D423" t="s">
        <v>59</v>
      </c>
      <c r="E423" t="s">
        <v>26</v>
      </c>
      <c r="F423" t="s">
        <v>83</v>
      </c>
      <c r="G423" t="s">
        <v>104</v>
      </c>
      <c r="H423" t="s">
        <v>20</v>
      </c>
      <c r="I423">
        <v>36040</v>
      </c>
      <c r="J423">
        <v>5</v>
      </c>
      <c r="K423">
        <v>4</v>
      </c>
      <c r="L423">
        <v>4</v>
      </c>
      <c r="M423" t="s">
        <v>126</v>
      </c>
    </row>
    <row r="424" spans="1:13">
      <c r="A424" t="s">
        <v>767</v>
      </c>
      <c r="B424" t="s">
        <v>605</v>
      </c>
      <c r="C424" t="s">
        <v>129</v>
      </c>
      <c r="D424" t="s">
        <v>165</v>
      </c>
      <c r="E424" t="s">
        <v>35</v>
      </c>
      <c r="F424" t="s">
        <v>83</v>
      </c>
      <c r="G424" t="s">
        <v>104</v>
      </c>
      <c r="H424" t="s">
        <v>29</v>
      </c>
      <c r="I424">
        <v>56403</v>
      </c>
      <c r="J424">
        <v>1</v>
      </c>
      <c r="K424">
        <v>3.4</v>
      </c>
      <c r="L424">
        <v>8</v>
      </c>
      <c r="M424" t="s">
        <v>144</v>
      </c>
    </row>
    <row r="425" spans="1:13">
      <c r="A425" t="s">
        <v>768</v>
      </c>
      <c r="B425" t="s">
        <v>143</v>
      </c>
      <c r="C425" t="s">
        <v>75</v>
      </c>
      <c r="D425" t="s">
        <v>147</v>
      </c>
      <c r="E425" t="s">
        <v>52</v>
      </c>
      <c r="F425" t="s">
        <v>100</v>
      </c>
      <c r="G425" t="s">
        <v>19</v>
      </c>
      <c r="H425" t="s">
        <v>64</v>
      </c>
      <c r="I425">
        <v>2276</v>
      </c>
      <c r="J425">
        <v>2</v>
      </c>
      <c r="K425">
        <v>4.5</v>
      </c>
      <c r="L425">
        <v>2</v>
      </c>
      <c r="M425" t="s">
        <v>144</v>
      </c>
    </row>
    <row r="426" spans="1:13">
      <c r="A426" t="s">
        <v>769</v>
      </c>
      <c r="B426" t="s">
        <v>675</v>
      </c>
      <c r="C426" t="s">
        <v>133</v>
      </c>
      <c r="D426" t="s">
        <v>79</v>
      </c>
      <c r="E426" t="s">
        <v>26</v>
      </c>
      <c r="F426" t="s">
        <v>27</v>
      </c>
      <c r="G426" t="s">
        <v>104</v>
      </c>
      <c r="H426" t="s">
        <v>29</v>
      </c>
      <c r="I426">
        <v>33795</v>
      </c>
      <c r="J426">
        <v>3</v>
      </c>
      <c r="K426">
        <v>4</v>
      </c>
      <c r="L426">
        <v>5</v>
      </c>
      <c r="M426" t="s">
        <v>87</v>
      </c>
    </row>
    <row r="427" spans="1:13">
      <c r="A427" t="s">
        <v>770</v>
      </c>
      <c r="B427" t="s">
        <v>115</v>
      </c>
      <c r="C427" t="s">
        <v>24</v>
      </c>
      <c r="D427" t="s">
        <v>147</v>
      </c>
      <c r="E427" t="s">
        <v>52</v>
      </c>
      <c r="F427" t="s">
        <v>60</v>
      </c>
      <c r="G427" t="s">
        <v>54</v>
      </c>
      <c r="H427" t="s">
        <v>64</v>
      </c>
      <c r="I427">
        <v>1841</v>
      </c>
      <c r="J427">
        <v>1</v>
      </c>
      <c r="K427">
        <v>4.9000000000000004</v>
      </c>
      <c r="L427">
        <v>5</v>
      </c>
      <c r="M427" t="s">
        <v>21</v>
      </c>
    </row>
    <row r="428" spans="1:13">
      <c r="A428" t="s">
        <v>771</v>
      </c>
      <c r="B428" t="s">
        <v>393</v>
      </c>
      <c r="C428" t="s">
        <v>146</v>
      </c>
      <c r="D428" t="s">
        <v>51</v>
      </c>
      <c r="E428" t="s">
        <v>52</v>
      </c>
      <c r="F428" t="s">
        <v>27</v>
      </c>
      <c r="G428" t="s">
        <v>104</v>
      </c>
      <c r="H428" t="s">
        <v>36</v>
      </c>
      <c r="I428">
        <v>6712</v>
      </c>
      <c r="J428">
        <v>8</v>
      </c>
      <c r="K428">
        <v>4.3</v>
      </c>
      <c r="L428">
        <v>2</v>
      </c>
      <c r="M428" t="s">
        <v>37</v>
      </c>
    </row>
    <row r="429" spans="1:13">
      <c r="A429" t="s">
        <v>772</v>
      </c>
      <c r="B429" t="s">
        <v>589</v>
      </c>
      <c r="C429" t="s">
        <v>50</v>
      </c>
      <c r="D429" t="s">
        <v>16</v>
      </c>
      <c r="E429" t="s">
        <v>17</v>
      </c>
      <c r="F429" t="s">
        <v>53</v>
      </c>
      <c r="G429" t="s">
        <v>19</v>
      </c>
      <c r="H429" t="s">
        <v>29</v>
      </c>
      <c r="I429">
        <v>6065</v>
      </c>
      <c r="J429">
        <v>5</v>
      </c>
      <c r="K429">
        <v>4.4000000000000004</v>
      </c>
      <c r="L429">
        <v>1</v>
      </c>
      <c r="M429" t="s">
        <v>87</v>
      </c>
    </row>
    <row r="430" spans="1:13">
      <c r="A430" t="s">
        <v>773</v>
      </c>
      <c r="B430" t="s">
        <v>326</v>
      </c>
      <c r="C430" t="s">
        <v>125</v>
      </c>
      <c r="D430" t="s">
        <v>41</v>
      </c>
      <c r="E430" t="s">
        <v>42</v>
      </c>
      <c r="F430" t="s">
        <v>18</v>
      </c>
      <c r="G430" t="s">
        <v>104</v>
      </c>
      <c r="H430" t="s">
        <v>29</v>
      </c>
      <c r="I430">
        <v>10192</v>
      </c>
      <c r="J430">
        <v>8</v>
      </c>
      <c r="K430">
        <v>3.6</v>
      </c>
      <c r="L430">
        <v>7</v>
      </c>
      <c r="M430" t="s">
        <v>65</v>
      </c>
    </row>
    <row r="431" spans="1:13">
      <c r="A431" t="s">
        <v>774</v>
      </c>
      <c r="B431" t="s">
        <v>217</v>
      </c>
      <c r="C431" t="s">
        <v>179</v>
      </c>
      <c r="D431" t="s">
        <v>97</v>
      </c>
      <c r="E431" t="s">
        <v>35</v>
      </c>
      <c r="F431" t="s">
        <v>83</v>
      </c>
      <c r="G431" t="s">
        <v>54</v>
      </c>
      <c r="H431" t="s">
        <v>64</v>
      </c>
      <c r="I431">
        <v>94144</v>
      </c>
      <c r="J431">
        <v>2</v>
      </c>
      <c r="K431">
        <v>4.5999999999999996</v>
      </c>
      <c r="L431">
        <v>5</v>
      </c>
      <c r="M431" t="s">
        <v>144</v>
      </c>
    </row>
    <row r="432" spans="1:13">
      <c r="A432" t="s">
        <v>775</v>
      </c>
      <c r="B432" t="s">
        <v>298</v>
      </c>
      <c r="C432" t="s">
        <v>72</v>
      </c>
      <c r="D432" t="s">
        <v>109</v>
      </c>
      <c r="E432" t="s">
        <v>52</v>
      </c>
      <c r="F432" t="s">
        <v>18</v>
      </c>
      <c r="G432" t="s">
        <v>19</v>
      </c>
      <c r="H432" t="s">
        <v>36</v>
      </c>
      <c r="I432">
        <v>12047</v>
      </c>
      <c r="J432">
        <v>7</v>
      </c>
      <c r="K432">
        <v>4</v>
      </c>
      <c r="L432">
        <v>4</v>
      </c>
      <c r="M432" t="s">
        <v>119</v>
      </c>
    </row>
    <row r="433" spans="1:13">
      <c r="A433" t="s">
        <v>776</v>
      </c>
      <c r="B433" t="s">
        <v>74</v>
      </c>
      <c r="C433" t="s">
        <v>15</v>
      </c>
      <c r="D433" t="s">
        <v>79</v>
      </c>
      <c r="E433" t="s">
        <v>26</v>
      </c>
      <c r="F433" t="s">
        <v>18</v>
      </c>
      <c r="G433" t="s">
        <v>104</v>
      </c>
      <c r="H433" t="s">
        <v>36</v>
      </c>
      <c r="I433">
        <v>66836</v>
      </c>
      <c r="J433">
        <v>7</v>
      </c>
      <c r="K433">
        <v>4.9000000000000004</v>
      </c>
      <c r="L433">
        <v>8</v>
      </c>
      <c r="M433" t="s">
        <v>65</v>
      </c>
    </row>
    <row r="434" spans="1:13">
      <c r="A434" t="s">
        <v>777</v>
      </c>
      <c r="B434" t="s">
        <v>176</v>
      </c>
      <c r="C434" t="s">
        <v>75</v>
      </c>
      <c r="D434" t="s">
        <v>113</v>
      </c>
      <c r="E434" t="s">
        <v>35</v>
      </c>
      <c r="F434" t="s">
        <v>18</v>
      </c>
      <c r="G434" t="s">
        <v>19</v>
      </c>
      <c r="H434" t="s">
        <v>64</v>
      </c>
      <c r="I434">
        <v>125158</v>
      </c>
      <c r="J434">
        <v>2</v>
      </c>
      <c r="K434">
        <v>4.5</v>
      </c>
      <c r="L434">
        <v>4</v>
      </c>
      <c r="M434" t="s">
        <v>55</v>
      </c>
    </row>
    <row r="435" spans="1:13">
      <c r="A435" t="s">
        <v>778</v>
      </c>
      <c r="B435" t="s">
        <v>215</v>
      </c>
      <c r="C435" t="s">
        <v>68</v>
      </c>
      <c r="D435" t="s">
        <v>116</v>
      </c>
      <c r="E435" t="s">
        <v>17</v>
      </c>
      <c r="F435" t="s">
        <v>60</v>
      </c>
      <c r="G435" t="s">
        <v>19</v>
      </c>
      <c r="H435" t="s">
        <v>36</v>
      </c>
      <c r="I435">
        <v>797</v>
      </c>
      <c r="J435">
        <v>1</v>
      </c>
      <c r="K435">
        <v>3.3</v>
      </c>
      <c r="L435">
        <v>5</v>
      </c>
      <c r="M435" t="s">
        <v>192</v>
      </c>
    </row>
    <row r="436" spans="1:13">
      <c r="A436" t="s">
        <v>779</v>
      </c>
      <c r="B436" t="s">
        <v>220</v>
      </c>
      <c r="C436" t="s">
        <v>58</v>
      </c>
      <c r="D436" t="s">
        <v>16</v>
      </c>
      <c r="E436" t="s">
        <v>17</v>
      </c>
      <c r="F436" t="s">
        <v>100</v>
      </c>
      <c r="G436" t="s">
        <v>19</v>
      </c>
      <c r="H436" t="s">
        <v>29</v>
      </c>
      <c r="I436">
        <v>1716</v>
      </c>
      <c r="J436">
        <v>4</v>
      </c>
      <c r="K436">
        <v>3.9</v>
      </c>
      <c r="L436">
        <v>2</v>
      </c>
      <c r="M436" t="s">
        <v>65</v>
      </c>
    </row>
    <row r="437" spans="1:13">
      <c r="A437" t="s">
        <v>780</v>
      </c>
      <c r="B437" t="s">
        <v>489</v>
      </c>
      <c r="C437" t="s">
        <v>129</v>
      </c>
      <c r="D437" t="s">
        <v>147</v>
      </c>
      <c r="E437" t="s">
        <v>52</v>
      </c>
      <c r="F437" t="s">
        <v>100</v>
      </c>
      <c r="G437" t="s">
        <v>19</v>
      </c>
      <c r="H437" t="s">
        <v>64</v>
      </c>
      <c r="I437">
        <v>1524</v>
      </c>
      <c r="J437">
        <v>3</v>
      </c>
      <c r="K437">
        <v>4.5999999999999996</v>
      </c>
      <c r="L437">
        <v>3</v>
      </c>
      <c r="M437" t="s">
        <v>30</v>
      </c>
    </row>
    <row r="438" spans="1:13">
      <c r="A438" t="s">
        <v>781</v>
      </c>
      <c r="B438" t="s">
        <v>670</v>
      </c>
      <c r="C438" t="s">
        <v>24</v>
      </c>
      <c r="D438" t="s">
        <v>147</v>
      </c>
      <c r="E438" t="s">
        <v>52</v>
      </c>
      <c r="F438" t="s">
        <v>18</v>
      </c>
      <c r="G438" t="s">
        <v>104</v>
      </c>
      <c r="H438" t="s">
        <v>64</v>
      </c>
      <c r="I438">
        <v>3580</v>
      </c>
      <c r="J438">
        <v>2</v>
      </c>
      <c r="K438">
        <v>3.3</v>
      </c>
      <c r="L438">
        <v>1</v>
      </c>
      <c r="M438" t="s">
        <v>80</v>
      </c>
    </row>
    <row r="439" spans="1:13">
      <c r="A439" t="s">
        <v>782</v>
      </c>
      <c r="B439" t="s">
        <v>635</v>
      </c>
      <c r="C439" t="s">
        <v>45</v>
      </c>
      <c r="D439" t="s">
        <v>159</v>
      </c>
      <c r="E439" t="s">
        <v>42</v>
      </c>
      <c r="F439" t="s">
        <v>27</v>
      </c>
      <c r="G439" t="s">
        <v>54</v>
      </c>
      <c r="H439" t="s">
        <v>20</v>
      </c>
      <c r="I439">
        <v>13167</v>
      </c>
      <c r="J439">
        <v>3</v>
      </c>
      <c r="K439">
        <v>3.6</v>
      </c>
      <c r="L439">
        <v>3</v>
      </c>
      <c r="M439" t="s">
        <v>37</v>
      </c>
    </row>
    <row r="440" spans="1:13">
      <c r="A440" t="s">
        <v>783</v>
      </c>
      <c r="B440" t="s">
        <v>784</v>
      </c>
      <c r="C440" t="s">
        <v>45</v>
      </c>
      <c r="D440" t="s">
        <v>41</v>
      </c>
      <c r="E440" t="s">
        <v>42</v>
      </c>
      <c r="F440" t="s">
        <v>53</v>
      </c>
      <c r="G440" t="s">
        <v>19</v>
      </c>
      <c r="H440" t="s">
        <v>64</v>
      </c>
      <c r="I440">
        <v>26340</v>
      </c>
      <c r="J440">
        <v>5</v>
      </c>
      <c r="K440">
        <v>3.5</v>
      </c>
      <c r="L440">
        <v>2</v>
      </c>
      <c r="M440" t="s">
        <v>192</v>
      </c>
    </row>
    <row r="441" spans="1:13">
      <c r="A441" t="s">
        <v>785</v>
      </c>
      <c r="B441" t="s">
        <v>697</v>
      </c>
      <c r="C441" t="s">
        <v>33</v>
      </c>
      <c r="D441" t="s">
        <v>109</v>
      </c>
      <c r="E441" t="s">
        <v>52</v>
      </c>
      <c r="F441" t="s">
        <v>27</v>
      </c>
      <c r="G441" t="s">
        <v>104</v>
      </c>
      <c r="H441" t="s">
        <v>29</v>
      </c>
      <c r="I441">
        <v>3444</v>
      </c>
      <c r="J441">
        <v>4</v>
      </c>
      <c r="K441">
        <v>3.5</v>
      </c>
      <c r="L441">
        <v>1</v>
      </c>
      <c r="M441" t="s">
        <v>144</v>
      </c>
    </row>
    <row r="442" spans="1:13">
      <c r="A442" t="s">
        <v>786</v>
      </c>
      <c r="B442" t="s">
        <v>195</v>
      </c>
      <c r="C442" t="s">
        <v>24</v>
      </c>
      <c r="D442" t="s">
        <v>51</v>
      </c>
      <c r="E442" t="s">
        <v>52</v>
      </c>
      <c r="F442" t="s">
        <v>18</v>
      </c>
      <c r="G442" t="s">
        <v>28</v>
      </c>
      <c r="H442" t="s">
        <v>36</v>
      </c>
      <c r="I442">
        <v>12636</v>
      </c>
      <c r="J442">
        <v>6</v>
      </c>
      <c r="K442">
        <v>4.9000000000000004</v>
      </c>
      <c r="L442">
        <v>3</v>
      </c>
      <c r="M442" t="s">
        <v>21</v>
      </c>
    </row>
    <row r="443" spans="1:13">
      <c r="A443" t="s">
        <v>787</v>
      </c>
      <c r="B443" t="s">
        <v>313</v>
      </c>
      <c r="C443" t="s">
        <v>122</v>
      </c>
      <c r="D443" t="s">
        <v>86</v>
      </c>
      <c r="E443" t="s">
        <v>17</v>
      </c>
      <c r="F443" t="s">
        <v>27</v>
      </c>
      <c r="G443" t="s">
        <v>28</v>
      </c>
      <c r="H443" t="s">
        <v>20</v>
      </c>
      <c r="I443">
        <v>6948</v>
      </c>
      <c r="J443">
        <v>6</v>
      </c>
      <c r="K443">
        <v>3.8</v>
      </c>
      <c r="L443">
        <v>2</v>
      </c>
      <c r="M443" t="s">
        <v>47</v>
      </c>
    </row>
    <row r="444" spans="1:13">
      <c r="A444" t="s">
        <v>788</v>
      </c>
      <c r="B444" t="s">
        <v>185</v>
      </c>
      <c r="C444" t="s">
        <v>24</v>
      </c>
      <c r="D444" t="s">
        <v>159</v>
      </c>
      <c r="E444" t="s">
        <v>42</v>
      </c>
      <c r="F444" t="s">
        <v>60</v>
      </c>
      <c r="G444" t="s">
        <v>104</v>
      </c>
      <c r="H444" t="s">
        <v>20</v>
      </c>
      <c r="I444">
        <v>34160</v>
      </c>
      <c r="J444">
        <v>8</v>
      </c>
      <c r="K444">
        <v>3.6</v>
      </c>
      <c r="L444">
        <v>8</v>
      </c>
      <c r="M444" t="s">
        <v>87</v>
      </c>
    </row>
    <row r="445" spans="1:13">
      <c r="A445" t="s">
        <v>789</v>
      </c>
      <c r="B445" t="s">
        <v>790</v>
      </c>
      <c r="C445" t="s">
        <v>103</v>
      </c>
      <c r="D445" t="s">
        <v>159</v>
      </c>
      <c r="E445" t="s">
        <v>42</v>
      </c>
      <c r="F445" t="s">
        <v>83</v>
      </c>
      <c r="G445" t="s">
        <v>54</v>
      </c>
      <c r="H445" t="s">
        <v>64</v>
      </c>
      <c r="I445">
        <v>10452</v>
      </c>
      <c r="J445">
        <v>6</v>
      </c>
      <c r="K445">
        <v>4.4000000000000004</v>
      </c>
      <c r="L445">
        <v>1</v>
      </c>
      <c r="M445" t="s">
        <v>192</v>
      </c>
    </row>
    <row r="446" spans="1:13">
      <c r="A446" t="s">
        <v>791</v>
      </c>
      <c r="B446" t="s">
        <v>336</v>
      </c>
      <c r="C446" t="s">
        <v>58</v>
      </c>
      <c r="D446" t="s">
        <v>90</v>
      </c>
      <c r="E446" t="s">
        <v>42</v>
      </c>
      <c r="F446" t="s">
        <v>100</v>
      </c>
      <c r="G446" t="s">
        <v>19</v>
      </c>
      <c r="H446" t="s">
        <v>36</v>
      </c>
      <c r="I446">
        <v>11904</v>
      </c>
      <c r="J446">
        <v>6</v>
      </c>
      <c r="K446">
        <v>4.9000000000000004</v>
      </c>
      <c r="L446">
        <v>3</v>
      </c>
      <c r="M446" t="s">
        <v>80</v>
      </c>
    </row>
    <row r="447" spans="1:13">
      <c r="A447" t="s">
        <v>792</v>
      </c>
      <c r="B447" t="s">
        <v>32</v>
      </c>
      <c r="C447" t="s">
        <v>58</v>
      </c>
      <c r="D447" t="s">
        <v>90</v>
      </c>
      <c r="E447" t="s">
        <v>42</v>
      </c>
      <c r="F447" t="s">
        <v>83</v>
      </c>
      <c r="G447" t="s">
        <v>19</v>
      </c>
      <c r="H447" t="s">
        <v>36</v>
      </c>
      <c r="I447">
        <v>33656</v>
      </c>
      <c r="J447">
        <v>8</v>
      </c>
      <c r="K447">
        <v>3.6</v>
      </c>
      <c r="L447">
        <v>7</v>
      </c>
      <c r="M447" t="s">
        <v>37</v>
      </c>
    </row>
    <row r="448" spans="1:13">
      <c r="A448" t="s">
        <v>793</v>
      </c>
      <c r="B448" t="s">
        <v>583</v>
      </c>
      <c r="C448" t="s">
        <v>146</v>
      </c>
      <c r="D448" t="s">
        <v>41</v>
      </c>
      <c r="E448" t="s">
        <v>42</v>
      </c>
      <c r="F448" t="s">
        <v>60</v>
      </c>
      <c r="G448" t="s">
        <v>19</v>
      </c>
      <c r="H448" t="s">
        <v>36</v>
      </c>
      <c r="I448">
        <v>40400</v>
      </c>
      <c r="J448">
        <v>8</v>
      </c>
      <c r="K448">
        <v>4.0999999999999996</v>
      </c>
      <c r="L448">
        <v>2</v>
      </c>
      <c r="M448" t="s">
        <v>144</v>
      </c>
    </row>
    <row r="449" spans="1:13">
      <c r="A449" t="s">
        <v>794</v>
      </c>
      <c r="B449" t="s">
        <v>411</v>
      </c>
      <c r="C449" t="s">
        <v>15</v>
      </c>
      <c r="D449" t="s">
        <v>25</v>
      </c>
      <c r="E449" t="s">
        <v>26</v>
      </c>
      <c r="F449" t="s">
        <v>60</v>
      </c>
      <c r="G449" t="s">
        <v>104</v>
      </c>
      <c r="H449" t="s">
        <v>20</v>
      </c>
      <c r="I449">
        <v>33012</v>
      </c>
      <c r="J449">
        <v>7</v>
      </c>
      <c r="K449">
        <v>4.4000000000000004</v>
      </c>
      <c r="L449">
        <v>2</v>
      </c>
      <c r="M449" t="s">
        <v>119</v>
      </c>
    </row>
    <row r="450" spans="1:13">
      <c r="A450" t="s">
        <v>795</v>
      </c>
      <c r="B450" t="s">
        <v>44</v>
      </c>
      <c r="C450" t="s">
        <v>75</v>
      </c>
      <c r="D450" t="s">
        <v>41</v>
      </c>
      <c r="E450" t="s">
        <v>42</v>
      </c>
      <c r="F450" t="s">
        <v>60</v>
      </c>
      <c r="G450" t="s">
        <v>104</v>
      </c>
      <c r="H450" t="s">
        <v>36</v>
      </c>
      <c r="I450">
        <v>29872</v>
      </c>
      <c r="J450">
        <v>8</v>
      </c>
      <c r="K450">
        <v>4</v>
      </c>
      <c r="L450">
        <v>1</v>
      </c>
      <c r="M450" t="s">
        <v>47</v>
      </c>
    </row>
    <row r="451" spans="1:13">
      <c r="A451" t="s">
        <v>796</v>
      </c>
      <c r="B451" t="s">
        <v>797</v>
      </c>
      <c r="C451" t="s">
        <v>33</v>
      </c>
      <c r="D451" t="s">
        <v>97</v>
      </c>
      <c r="E451" t="s">
        <v>35</v>
      </c>
      <c r="F451" t="s">
        <v>18</v>
      </c>
      <c r="G451" t="s">
        <v>28</v>
      </c>
      <c r="H451" t="s">
        <v>29</v>
      </c>
      <c r="I451">
        <v>335296</v>
      </c>
      <c r="J451">
        <v>4</v>
      </c>
      <c r="K451">
        <v>4.0999999999999996</v>
      </c>
      <c r="L451">
        <v>6</v>
      </c>
      <c r="M451" t="s">
        <v>21</v>
      </c>
    </row>
    <row r="452" spans="1:13">
      <c r="A452" t="s">
        <v>798</v>
      </c>
      <c r="B452" t="s">
        <v>799</v>
      </c>
      <c r="C452" t="s">
        <v>78</v>
      </c>
      <c r="D452" t="s">
        <v>41</v>
      </c>
      <c r="E452" t="s">
        <v>42</v>
      </c>
      <c r="F452" t="s">
        <v>18</v>
      </c>
      <c r="G452" t="s">
        <v>28</v>
      </c>
      <c r="H452" t="s">
        <v>20</v>
      </c>
      <c r="I452">
        <v>14262</v>
      </c>
      <c r="J452">
        <v>6</v>
      </c>
      <c r="K452">
        <v>5</v>
      </c>
      <c r="L452">
        <v>4</v>
      </c>
      <c r="M452" t="s">
        <v>55</v>
      </c>
    </row>
    <row r="453" spans="1:13">
      <c r="A453" t="s">
        <v>800</v>
      </c>
      <c r="B453" t="s">
        <v>154</v>
      </c>
      <c r="C453" t="s">
        <v>125</v>
      </c>
      <c r="D453" t="s">
        <v>109</v>
      </c>
      <c r="E453" t="s">
        <v>52</v>
      </c>
      <c r="F453" t="s">
        <v>100</v>
      </c>
      <c r="G453" t="s">
        <v>54</v>
      </c>
      <c r="H453" t="s">
        <v>64</v>
      </c>
      <c r="I453">
        <v>9910</v>
      </c>
      <c r="J453">
        <v>5</v>
      </c>
      <c r="K453">
        <v>3.9</v>
      </c>
      <c r="L453">
        <v>8</v>
      </c>
      <c r="M453" t="s">
        <v>126</v>
      </c>
    </row>
    <row r="454" spans="1:13">
      <c r="A454" t="s">
        <v>801</v>
      </c>
      <c r="B454" t="s">
        <v>802</v>
      </c>
      <c r="C454" t="s">
        <v>40</v>
      </c>
      <c r="D454" t="s">
        <v>59</v>
      </c>
      <c r="E454" t="s">
        <v>26</v>
      </c>
      <c r="F454" t="s">
        <v>18</v>
      </c>
      <c r="G454" t="s">
        <v>54</v>
      </c>
      <c r="H454" t="s">
        <v>20</v>
      </c>
      <c r="I454">
        <v>13380</v>
      </c>
      <c r="J454">
        <v>6</v>
      </c>
      <c r="K454">
        <v>3.3</v>
      </c>
      <c r="L454">
        <v>3</v>
      </c>
      <c r="M454" t="s">
        <v>47</v>
      </c>
    </row>
    <row r="455" spans="1:13">
      <c r="A455" t="s">
        <v>803</v>
      </c>
      <c r="B455" t="s">
        <v>298</v>
      </c>
      <c r="C455" t="s">
        <v>78</v>
      </c>
      <c r="D455" t="s">
        <v>113</v>
      </c>
      <c r="E455" t="s">
        <v>35</v>
      </c>
      <c r="F455" t="s">
        <v>83</v>
      </c>
      <c r="G455" t="s">
        <v>28</v>
      </c>
      <c r="H455" t="s">
        <v>29</v>
      </c>
      <c r="I455">
        <v>87816</v>
      </c>
      <c r="J455">
        <v>3</v>
      </c>
      <c r="K455">
        <v>3.2</v>
      </c>
      <c r="L455">
        <v>7</v>
      </c>
      <c r="M455" t="s">
        <v>119</v>
      </c>
    </row>
    <row r="456" spans="1:13">
      <c r="A456" t="s">
        <v>804</v>
      </c>
      <c r="B456" t="s">
        <v>805</v>
      </c>
      <c r="C456" t="s">
        <v>133</v>
      </c>
      <c r="D456" t="s">
        <v>90</v>
      </c>
      <c r="E456" t="s">
        <v>42</v>
      </c>
      <c r="F456" t="s">
        <v>100</v>
      </c>
      <c r="G456" t="s">
        <v>104</v>
      </c>
      <c r="H456" t="s">
        <v>29</v>
      </c>
      <c r="I456">
        <v>880</v>
      </c>
      <c r="J456">
        <v>1</v>
      </c>
      <c r="K456">
        <v>4.7</v>
      </c>
      <c r="L456">
        <v>6</v>
      </c>
      <c r="M456" t="s">
        <v>192</v>
      </c>
    </row>
    <row r="457" spans="1:13">
      <c r="A457" t="s">
        <v>806</v>
      </c>
      <c r="B457" t="s">
        <v>406</v>
      </c>
      <c r="C457" t="s">
        <v>40</v>
      </c>
      <c r="D457" t="s">
        <v>90</v>
      </c>
      <c r="E457" t="s">
        <v>42</v>
      </c>
      <c r="F457" t="s">
        <v>18</v>
      </c>
      <c r="G457" t="s">
        <v>19</v>
      </c>
      <c r="H457" t="s">
        <v>29</v>
      </c>
      <c r="I457">
        <v>10530</v>
      </c>
      <c r="J457">
        <v>5</v>
      </c>
      <c r="K457">
        <v>3.6</v>
      </c>
      <c r="L457">
        <v>6</v>
      </c>
      <c r="M457" t="s">
        <v>47</v>
      </c>
    </row>
    <row r="458" spans="1:13">
      <c r="A458" t="s">
        <v>807</v>
      </c>
      <c r="B458" t="s">
        <v>415</v>
      </c>
      <c r="C458" t="s">
        <v>24</v>
      </c>
      <c r="D458" t="s">
        <v>97</v>
      </c>
      <c r="E458" t="s">
        <v>35</v>
      </c>
      <c r="F458" t="s">
        <v>83</v>
      </c>
      <c r="G458" t="s">
        <v>54</v>
      </c>
      <c r="H458" t="s">
        <v>36</v>
      </c>
      <c r="I458">
        <v>119661</v>
      </c>
      <c r="J458">
        <v>3</v>
      </c>
      <c r="K458">
        <v>4.7</v>
      </c>
      <c r="L458">
        <v>3</v>
      </c>
      <c r="M458" t="s">
        <v>80</v>
      </c>
    </row>
    <row r="459" spans="1:13">
      <c r="A459" t="s">
        <v>808</v>
      </c>
      <c r="B459" t="s">
        <v>510</v>
      </c>
      <c r="C459" t="s">
        <v>129</v>
      </c>
      <c r="D459" t="s">
        <v>165</v>
      </c>
      <c r="E459" t="s">
        <v>35</v>
      </c>
      <c r="F459" t="s">
        <v>83</v>
      </c>
      <c r="G459" t="s">
        <v>104</v>
      </c>
      <c r="H459" t="s">
        <v>64</v>
      </c>
      <c r="I459">
        <v>213456</v>
      </c>
      <c r="J459">
        <v>8</v>
      </c>
      <c r="K459">
        <v>4.5</v>
      </c>
      <c r="L459">
        <v>6</v>
      </c>
      <c r="M459" t="s">
        <v>80</v>
      </c>
    </row>
    <row r="460" spans="1:13">
      <c r="A460" t="s">
        <v>809</v>
      </c>
      <c r="B460" t="s">
        <v>810</v>
      </c>
      <c r="C460" t="s">
        <v>72</v>
      </c>
      <c r="D460" t="s">
        <v>79</v>
      </c>
      <c r="E460" t="s">
        <v>26</v>
      </c>
      <c r="F460" t="s">
        <v>18</v>
      </c>
      <c r="G460" t="s">
        <v>104</v>
      </c>
      <c r="H460" t="s">
        <v>29</v>
      </c>
      <c r="I460">
        <v>15905</v>
      </c>
      <c r="J460">
        <v>5</v>
      </c>
      <c r="K460">
        <v>4.9000000000000004</v>
      </c>
      <c r="L460">
        <v>6</v>
      </c>
      <c r="M460" t="s">
        <v>30</v>
      </c>
    </row>
    <row r="461" spans="1:13">
      <c r="A461" t="s">
        <v>811</v>
      </c>
      <c r="B461" t="s">
        <v>252</v>
      </c>
      <c r="C461" t="s">
        <v>78</v>
      </c>
      <c r="D461" t="s">
        <v>46</v>
      </c>
      <c r="E461" t="s">
        <v>42</v>
      </c>
      <c r="F461" t="s">
        <v>18</v>
      </c>
      <c r="G461" t="s">
        <v>104</v>
      </c>
      <c r="H461" t="s">
        <v>36</v>
      </c>
      <c r="I461">
        <v>4860</v>
      </c>
      <c r="J461">
        <v>3</v>
      </c>
      <c r="K461">
        <v>4.8</v>
      </c>
      <c r="L461">
        <v>3</v>
      </c>
      <c r="M461" t="s">
        <v>30</v>
      </c>
    </row>
    <row r="462" spans="1:13">
      <c r="A462" t="s">
        <v>812</v>
      </c>
      <c r="B462" t="s">
        <v>306</v>
      </c>
      <c r="C462" t="s">
        <v>103</v>
      </c>
      <c r="D462" t="s">
        <v>159</v>
      </c>
      <c r="E462" t="s">
        <v>42</v>
      </c>
      <c r="F462" t="s">
        <v>83</v>
      </c>
      <c r="G462" t="s">
        <v>54</v>
      </c>
      <c r="H462" t="s">
        <v>36</v>
      </c>
      <c r="I462">
        <v>34086</v>
      </c>
      <c r="J462">
        <v>6</v>
      </c>
      <c r="K462">
        <v>3.6</v>
      </c>
      <c r="L462">
        <v>4</v>
      </c>
      <c r="M462" t="s">
        <v>47</v>
      </c>
    </row>
    <row r="463" spans="1:13">
      <c r="A463" t="s">
        <v>813</v>
      </c>
      <c r="B463" t="s">
        <v>139</v>
      </c>
      <c r="C463" t="s">
        <v>129</v>
      </c>
      <c r="D463" t="s">
        <v>69</v>
      </c>
      <c r="E463" t="s">
        <v>26</v>
      </c>
      <c r="F463" t="s">
        <v>60</v>
      </c>
      <c r="G463" t="s">
        <v>19</v>
      </c>
      <c r="H463" t="s">
        <v>64</v>
      </c>
      <c r="I463">
        <v>12012</v>
      </c>
      <c r="J463">
        <v>2</v>
      </c>
      <c r="K463">
        <v>4.3</v>
      </c>
      <c r="L463">
        <v>1</v>
      </c>
      <c r="M463" t="s">
        <v>119</v>
      </c>
    </row>
    <row r="464" spans="1:13">
      <c r="A464" t="s">
        <v>814</v>
      </c>
      <c r="B464" t="s">
        <v>310</v>
      </c>
      <c r="C464" t="s">
        <v>179</v>
      </c>
      <c r="D464" t="s">
        <v>97</v>
      </c>
      <c r="E464" t="s">
        <v>35</v>
      </c>
      <c r="F464" t="s">
        <v>27</v>
      </c>
      <c r="G464" t="s">
        <v>28</v>
      </c>
      <c r="H464" t="s">
        <v>64</v>
      </c>
      <c r="I464">
        <v>48552</v>
      </c>
      <c r="J464">
        <v>1</v>
      </c>
      <c r="K464">
        <v>4.8</v>
      </c>
      <c r="L464">
        <v>2</v>
      </c>
      <c r="M464" t="s">
        <v>55</v>
      </c>
    </row>
    <row r="465" spans="1:13">
      <c r="A465" t="s">
        <v>815</v>
      </c>
      <c r="B465" t="s">
        <v>708</v>
      </c>
      <c r="C465" t="s">
        <v>40</v>
      </c>
      <c r="D465" t="s">
        <v>46</v>
      </c>
      <c r="E465" t="s">
        <v>42</v>
      </c>
      <c r="F465" t="s">
        <v>60</v>
      </c>
      <c r="G465" t="s">
        <v>104</v>
      </c>
      <c r="H465" t="s">
        <v>36</v>
      </c>
      <c r="I465">
        <v>38570</v>
      </c>
      <c r="J465">
        <v>7</v>
      </c>
      <c r="K465">
        <v>3.4</v>
      </c>
      <c r="L465">
        <v>4</v>
      </c>
      <c r="M465" t="s">
        <v>80</v>
      </c>
    </row>
    <row r="466" spans="1:13">
      <c r="A466" t="s">
        <v>816</v>
      </c>
      <c r="B466" t="s">
        <v>561</v>
      </c>
      <c r="C466" t="s">
        <v>179</v>
      </c>
      <c r="D466" t="s">
        <v>69</v>
      </c>
      <c r="E466" t="s">
        <v>26</v>
      </c>
      <c r="F466" t="s">
        <v>83</v>
      </c>
      <c r="G466" t="s">
        <v>28</v>
      </c>
      <c r="H466" t="s">
        <v>29</v>
      </c>
      <c r="I466">
        <v>9906</v>
      </c>
      <c r="J466">
        <v>1</v>
      </c>
      <c r="K466">
        <v>4</v>
      </c>
      <c r="L466">
        <v>3</v>
      </c>
      <c r="M466" t="s">
        <v>87</v>
      </c>
    </row>
    <row r="467" spans="1:13">
      <c r="A467" t="s">
        <v>817</v>
      </c>
      <c r="B467" t="s">
        <v>666</v>
      </c>
      <c r="C467" t="s">
        <v>72</v>
      </c>
      <c r="D467" t="s">
        <v>69</v>
      </c>
      <c r="E467" t="s">
        <v>26</v>
      </c>
      <c r="F467" t="s">
        <v>53</v>
      </c>
      <c r="G467" t="s">
        <v>104</v>
      </c>
      <c r="H467" t="s">
        <v>64</v>
      </c>
      <c r="I467">
        <v>41965</v>
      </c>
      <c r="J467">
        <v>5</v>
      </c>
      <c r="K467">
        <v>3.6</v>
      </c>
      <c r="L467">
        <v>1</v>
      </c>
      <c r="M467" t="s">
        <v>144</v>
      </c>
    </row>
    <row r="468" spans="1:13">
      <c r="A468" t="s">
        <v>818</v>
      </c>
      <c r="B468" t="s">
        <v>545</v>
      </c>
      <c r="C468" t="s">
        <v>45</v>
      </c>
      <c r="D468" t="s">
        <v>218</v>
      </c>
      <c r="E468" t="s">
        <v>17</v>
      </c>
      <c r="F468" t="s">
        <v>27</v>
      </c>
      <c r="G468" t="s">
        <v>104</v>
      </c>
      <c r="H468" t="s">
        <v>64</v>
      </c>
      <c r="I468">
        <v>3921</v>
      </c>
      <c r="J468">
        <v>3</v>
      </c>
      <c r="K468">
        <v>4.0999999999999996</v>
      </c>
      <c r="L468">
        <v>2</v>
      </c>
      <c r="M468" t="s">
        <v>47</v>
      </c>
    </row>
    <row r="469" spans="1:13">
      <c r="A469" t="s">
        <v>819</v>
      </c>
      <c r="B469" t="s">
        <v>533</v>
      </c>
      <c r="C469" t="s">
        <v>24</v>
      </c>
      <c r="D469" t="s">
        <v>69</v>
      </c>
      <c r="E469" t="s">
        <v>26</v>
      </c>
      <c r="F469" t="s">
        <v>100</v>
      </c>
      <c r="G469" t="s">
        <v>54</v>
      </c>
      <c r="H469" t="s">
        <v>20</v>
      </c>
      <c r="I469">
        <v>81800</v>
      </c>
      <c r="J469">
        <v>8</v>
      </c>
      <c r="K469">
        <v>3.2</v>
      </c>
      <c r="L469">
        <v>5</v>
      </c>
      <c r="M469" t="s">
        <v>21</v>
      </c>
    </row>
    <row r="470" spans="1:13">
      <c r="A470" t="s">
        <v>820</v>
      </c>
      <c r="B470" t="s">
        <v>411</v>
      </c>
      <c r="C470" t="s">
        <v>33</v>
      </c>
      <c r="D470" t="s">
        <v>97</v>
      </c>
      <c r="E470" t="s">
        <v>35</v>
      </c>
      <c r="F470" t="s">
        <v>53</v>
      </c>
      <c r="G470" t="s">
        <v>104</v>
      </c>
      <c r="H470" t="s">
        <v>36</v>
      </c>
      <c r="I470">
        <v>28296</v>
      </c>
      <c r="J470">
        <v>3</v>
      </c>
      <c r="K470">
        <v>4</v>
      </c>
      <c r="L470">
        <v>6</v>
      </c>
      <c r="M470" t="s">
        <v>119</v>
      </c>
    </row>
    <row r="471" spans="1:13">
      <c r="A471" t="s">
        <v>821</v>
      </c>
      <c r="B471" t="s">
        <v>784</v>
      </c>
      <c r="C471" t="s">
        <v>103</v>
      </c>
      <c r="D471" t="s">
        <v>79</v>
      </c>
      <c r="E471" t="s">
        <v>26</v>
      </c>
      <c r="F471" t="s">
        <v>27</v>
      </c>
      <c r="G471" t="s">
        <v>104</v>
      </c>
      <c r="H471" t="s">
        <v>36</v>
      </c>
      <c r="I471">
        <v>17940</v>
      </c>
      <c r="J471">
        <v>3</v>
      </c>
      <c r="K471">
        <v>4.7</v>
      </c>
      <c r="L471">
        <v>5</v>
      </c>
      <c r="M471" t="s">
        <v>192</v>
      </c>
    </row>
    <row r="472" spans="1:13">
      <c r="A472" t="s">
        <v>822</v>
      </c>
      <c r="B472" t="s">
        <v>371</v>
      </c>
      <c r="C472" t="s">
        <v>68</v>
      </c>
      <c r="D472" t="s">
        <v>59</v>
      </c>
      <c r="E472" t="s">
        <v>26</v>
      </c>
      <c r="F472" t="s">
        <v>83</v>
      </c>
      <c r="G472" t="s">
        <v>19</v>
      </c>
      <c r="H472" t="s">
        <v>20</v>
      </c>
      <c r="I472">
        <v>8744</v>
      </c>
      <c r="J472">
        <v>1</v>
      </c>
      <c r="K472">
        <v>3.9</v>
      </c>
      <c r="L472">
        <v>3</v>
      </c>
      <c r="M472" t="s">
        <v>80</v>
      </c>
    </row>
    <row r="473" spans="1:13">
      <c r="A473" t="s">
        <v>823</v>
      </c>
      <c r="B473" t="s">
        <v>545</v>
      </c>
      <c r="C473" t="s">
        <v>72</v>
      </c>
      <c r="D473" t="s">
        <v>147</v>
      </c>
      <c r="E473" t="s">
        <v>52</v>
      </c>
      <c r="F473" t="s">
        <v>60</v>
      </c>
      <c r="G473" t="s">
        <v>104</v>
      </c>
      <c r="H473" t="s">
        <v>20</v>
      </c>
      <c r="I473">
        <v>5816</v>
      </c>
      <c r="J473">
        <v>8</v>
      </c>
      <c r="K473">
        <v>3.8</v>
      </c>
      <c r="L473">
        <v>6</v>
      </c>
      <c r="M473" t="s">
        <v>47</v>
      </c>
    </row>
    <row r="474" spans="1:13">
      <c r="A474" t="s">
        <v>824</v>
      </c>
      <c r="B474" t="s">
        <v>825</v>
      </c>
      <c r="C474" t="s">
        <v>133</v>
      </c>
      <c r="D474" t="s">
        <v>113</v>
      </c>
      <c r="E474" t="s">
        <v>35</v>
      </c>
      <c r="F474" t="s">
        <v>27</v>
      </c>
      <c r="G474" t="s">
        <v>54</v>
      </c>
      <c r="H474" t="s">
        <v>36</v>
      </c>
      <c r="I474">
        <v>128788</v>
      </c>
      <c r="J474">
        <v>4</v>
      </c>
      <c r="K474">
        <v>3.6</v>
      </c>
      <c r="L474">
        <v>2</v>
      </c>
      <c r="M474" t="s">
        <v>80</v>
      </c>
    </row>
    <row r="475" spans="1:13">
      <c r="A475" t="s">
        <v>826</v>
      </c>
      <c r="B475" t="s">
        <v>692</v>
      </c>
      <c r="C475" t="s">
        <v>103</v>
      </c>
      <c r="D475" t="s">
        <v>116</v>
      </c>
      <c r="E475" t="s">
        <v>17</v>
      </c>
      <c r="F475" t="s">
        <v>18</v>
      </c>
      <c r="G475" t="s">
        <v>54</v>
      </c>
      <c r="H475" t="s">
        <v>29</v>
      </c>
      <c r="I475">
        <v>702</v>
      </c>
      <c r="J475">
        <v>1</v>
      </c>
      <c r="K475">
        <v>3.3</v>
      </c>
      <c r="L475">
        <v>2</v>
      </c>
      <c r="M475" t="s">
        <v>47</v>
      </c>
    </row>
    <row r="476" spans="1:13">
      <c r="A476" t="s">
        <v>827</v>
      </c>
      <c r="B476" t="s">
        <v>593</v>
      </c>
      <c r="C476" t="s">
        <v>58</v>
      </c>
      <c r="D476" t="s">
        <v>16</v>
      </c>
      <c r="E476" t="s">
        <v>17</v>
      </c>
      <c r="F476" t="s">
        <v>53</v>
      </c>
      <c r="G476" t="s">
        <v>104</v>
      </c>
      <c r="H476" t="s">
        <v>20</v>
      </c>
      <c r="I476">
        <v>6012</v>
      </c>
      <c r="J476">
        <v>4</v>
      </c>
      <c r="K476">
        <v>3.4</v>
      </c>
      <c r="L476">
        <v>5</v>
      </c>
      <c r="M476" t="s">
        <v>80</v>
      </c>
    </row>
    <row r="477" spans="1:13">
      <c r="A477" t="s">
        <v>828</v>
      </c>
      <c r="B477" t="s">
        <v>829</v>
      </c>
      <c r="C477" t="s">
        <v>78</v>
      </c>
      <c r="D477" t="s">
        <v>79</v>
      </c>
      <c r="E477" t="s">
        <v>26</v>
      </c>
      <c r="F477" t="s">
        <v>18</v>
      </c>
      <c r="G477" t="s">
        <v>54</v>
      </c>
      <c r="H477" t="s">
        <v>20</v>
      </c>
      <c r="I477">
        <v>7876</v>
      </c>
      <c r="J477">
        <v>2</v>
      </c>
      <c r="K477">
        <v>4.9000000000000004</v>
      </c>
      <c r="L477">
        <v>3</v>
      </c>
      <c r="M477" t="s">
        <v>65</v>
      </c>
    </row>
    <row r="478" spans="1:13">
      <c r="A478" t="s">
        <v>830</v>
      </c>
      <c r="B478" t="s">
        <v>799</v>
      </c>
      <c r="C478" t="s">
        <v>133</v>
      </c>
      <c r="D478" t="s">
        <v>69</v>
      </c>
      <c r="E478" t="s">
        <v>26</v>
      </c>
      <c r="F478" t="s">
        <v>18</v>
      </c>
      <c r="G478" t="s">
        <v>104</v>
      </c>
      <c r="H478" t="s">
        <v>36</v>
      </c>
      <c r="I478">
        <v>21057</v>
      </c>
      <c r="J478">
        <v>3</v>
      </c>
      <c r="K478">
        <v>4</v>
      </c>
      <c r="L478">
        <v>4</v>
      </c>
      <c r="M478" t="s">
        <v>55</v>
      </c>
    </row>
    <row r="479" spans="1:13">
      <c r="A479" t="s">
        <v>831</v>
      </c>
      <c r="B479" t="s">
        <v>729</v>
      </c>
      <c r="C479" t="s">
        <v>68</v>
      </c>
      <c r="D479" t="s">
        <v>41</v>
      </c>
      <c r="E479" t="s">
        <v>42</v>
      </c>
      <c r="F479" t="s">
        <v>60</v>
      </c>
      <c r="G479" t="s">
        <v>104</v>
      </c>
      <c r="H479" t="s">
        <v>64</v>
      </c>
      <c r="I479">
        <v>15792</v>
      </c>
      <c r="J479">
        <v>3</v>
      </c>
      <c r="K479">
        <v>3.3</v>
      </c>
      <c r="L479">
        <v>8</v>
      </c>
      <c r="M479" t="s">
        <v>65</v>
      </c>
    </row>
    <row r="480" spans="1:13">
      <c r="A480" t="s">
        <v>832</v>
      </c>
      <c r="B480" t="s">
        <v>833</v>
      </c>
      <c r="C480" t="s">
        <v>129</v>
      </c>
      <c r="D480" t="s">
        <v>59</v>
      </c>
      <c r="E480" t="s">
        <v>26</v>
      </c>
      <c r="F480" t="s">
        <v>83</v>
      </c>
      <c r="G480" t="s">
        <v>54</v>
      </c>
      <c r="H480" t="s">
        <v>64</v>
      </c>
      <c r="I480">
        <v>31144</v>
      </c>
      <c r="J480">
        <v>8</v>
      </c>
      <c r="K480">
        <v>4.7</v>
      </c>
      <c r="L480">
        <v>8</v>
      </c>
      <c r="M480" t="s">
        <v>119</v>
      </c>
    </row>
    <row r="481" spans="1:13">
      <c r="A481" t="s">
        <v>834</v>
      </c>
      <c r="B481" t="s">
        <v>82</v>
      </c>
      <c r="C481" t="s">
        <v>75</v>
      </c>
      <c r="D481" t="s">
        <v>116</v>
      </c>
      <c r="E481" t="s">
        <v>17</v>
      </c>
      <c r="F481" t="s">
        <v>53</v>
      </c>
      <c r="G481" t="s">
        <v>19</v>
      </c>
      <c r="H481" t="s">
        <v>29</v>
      </c>
      <c r="I481">
        <v>1088</v>
      </c>
      <c r="J481">
        <v>2</v>
      </c>
      <c r="K481">
        <v>5</v>
      </c>
      <c r="L481">
        <v>3</v>
      </c>
      <c r="M481" t="s">
        <v>47</v>
      </c>
    </row>
    <row r="482" spans="1:13">
      <c r="A482" t="s">
        <v>835</v>
      </c>
      <c r="B482" t="s">
        <v>203</v>
      </c>
      <c r="C482" t="s">
        <v>129</v>
      </c>
      <c r="D482" t="s">
        <v>51</v>
      </c>
      <c r="E482" t="s">
        <v>52</v>
      </c>
      <c r="F482" t="s">
        <v>60</v>
      </c>
      <c r="G482" t="s">
        <v>28</v>
      </c>
      <c r="H482" t="s">
        <v>64</v>
      </c>
      <c r="I482">
        <v>9176</v>
      </c>
      <c r="J482">
        <v>4</v>
      </c>
      <c r="K482">
        <v>3.7</v>
      </c>
      <c r="L482">
        <v>7</v>
      </c>
      <c r="M482" t="s">
        <v>80</v>
      </c>
    </row>
    <row r="483" spans="1:13">
      <c r="A483" t="s">
        <v>836</v>
      </c>
      <c r="B483" t="s">
        <v>837</v>
      </c>
      <c r="C483" t="s">
        <v>15</v>
      </c>
      <c r="D483" t="s">
        <v>59</v>
      </c>
      <c r="E483" t="s">
        <v>26</v>
      </c>
      <c r="F483" t="s">
        <v>18</v>
      </c>
      <c r="G483" t="s">
        <v>54</v>
      </c>
      <c r="H483" t="s">
        <v>36</v>
      </c>
      <c r="I483">
        <v>71576</v>
      </c>
      <c r="J483">
        <v>8</v>
      </c>
      <c r="K483">
        <v>3.6</v>
      </c>
      <c r="L483">
        <v>3</v>
      </c>
      <c r="M483" t="s">
        <v>80</v>
      </c>
    </row>
    <row r="484" spans="1:13">
      <c r="A484" t="s">
        <v>838</v>
      </c>
      <c r="B484" t="s">
        <v>393</v>
      </c>
      <c r="C484" t="s">
        <v>112</v>
      </c>
      <c r="D484" t="s">
        <v>41</v>
      </c>
      <c r="E484" t="s">
        <v>42</v>
      </c>
      <c r="F484" t="s">
        <v>60</v>
      </c>
      <c r="G484" t="s">
        <v>28</v>
      </c>
      <c r="H484" t="s">
        <v>20</v>
      </c>
      <c r="I484">
        <v>22260</v>
      </c>
      <c r="J484">
        <v>7</v>
      </c>
      <c r="K484">
        <v>4.3</v>
      </c>
      <c r="L484">
        <v>2</v>
      </c>
      <c r="M484" t="s">
        <v>37</v>
      </c>
    </row>
    <row r="485" spans="1:13">
      <c r="A485" t="s">
        <v>839</v>
      </c>
      <c r="B485" t="s">
        <v>579</v>
      </c>
      <c r="C485" t="s">
        <v>133</v>
      </c>
      <c r="D485" t="s">
        <v>97</v>
      </c>
      <c r="E485" t="s">
        <v>35</v>
      </c>
      <c r="F485" t="s">
        <v>18</v>
      </c>
      <c r="G485" t="s">
        <v>28</v>
      </c>
      <c r="H485" t="s">
        <v>64</v>
      </c>
      <c r="I485">
        <v>366740</v>
      </c>
      <c r="J485">
        <v>5</v>
      </c>
      <c r="K485">
        <v>4.9000000000000004</v>
      </c>
      <c r="L485">
        <v>1</v>
      </c>
      <c r="M485" t="s">
        <v>65</v>
      </c>
    </row>
    <row r="486" spans="1:13">
      <c r="A486" t="s">
        <v>840</v>
      </c>
      <c r="B486" t="s">
        <v>841</v>
      </c>
      <c r="C486" t="s">
        <v>24</v>
      </c>
      <c r="D486" t="s">
        <v>97</v>
      </c>
      <c r="E486" t="s">
        <v>35</v>
      </c>
      <c r="F486" t="s">
        <v>60</v>
      </c>
      <c r="G486" t="s">
        <v>28</v>
      </c>
      <c r="H486" t="s">
        <v>20</v>
      </c>
      <c r="I486">
        <v>205456</v>
      </c>
      <c r="J486">
        <v>8</v>
      </c>
      <c r="K486">
        <v>4.7</v>
      </c>
      <c r="L486">
        <v>5</v>
      </c>
      <c r="M486" t="s">
        <v>47</v>
      </c>
    </row>
    <row r="487" spans="1:13">
      <c r="A487" t="s">
        <v>842</v>
      </c>
      <c r="B487" t="s">
        <v>843</v>
      </c>
      <c r="C487" t="s">
        <v>112</v>
      </c>
      <c r="D487" t="s">
        <v>97</v>
      </c>
      <c r="E487" t="s">
        <v>35</v>
      </c>
      <c r="F487" t="s">
        <v>18</v>
      </c>
      <c r="G487" t="s">
        <v>28</v>
      </c>
      <c r="H487" t="s">
        <v>29</v>
      </c>
      <c r="I487">
        <v>150170</v>
      </c>
      <c r="J487">
        <v>2</v>
      </c>
      <c r="K487">
        <v>4</v>
      </c>
      <c r="L487">
        <v>3</v>
      </c>
      <c r="M487" t="s">
        <v>65</v>
      </c>
    </row>
    <row r="488" spans="1:13">
      <c r="A488" t="s">
        <v>844</v>
      </c>
      <c r="B488" t="s">
        <v>595</v>
      </c>
      <c r="C488" t="s">
        <v>129</v>
      </c>
      <c r="D488" t="s">
        <v>90</v>
      </c>
      <c r="E488" t="s">
        <v>42</v>
      </c>
      <c r="F488" t="s">
        <v>27</v>
      </c>
      <c r="G488" t="s">
        <v>54</v>
      </c>
      <c r="H488" t="s">
        <v>29</v>
      </c>
      <c r="I488">
        <v>5580</v>
      </c>
      <c r="J488">
        <v>6</v>
      </c>
      <c r="K488">
        <v>3.3</v>
      </c>
      <c r="L488">
        <v>6</v>
      </c>
      <c r="M488" t="s">
        <v>192</v>
      </c>
    </row>
    <row r="489" spans="1:13">
      <c r="A489" t="s">
        <v>845</v>
      </c>
      <c r="B489" t="s">
        <v>846</v>
      </c>
      <c r="C489" t="s">
        <v>40</v>
      </c>
      <c r="D489" t="s">
        <v>41</v>
      </c>
      <c r="E489" t="s">
        <v>42</v>
      </c>
      <c r="F489" t="s">
        <v>100</v>
      </c>
      <c r="G489" t="s">
        <v>54</v>
      </c>
      <c r="H489" t="s">
        <v>36</v>
      </c>
      <c r="I489">
        <v>6972</v>
      </c>
      <c r="J489">
        <v>6</v>
      </c>
      <c r="K489">
        <v>3.6</v>
      </c>
      <c r="L489">
        <v>4</v>
      </c>
      <c r="M489" t="s">
        <v>47</v>
      </c>
    </row>
    <row r="490" spans="1:13">
      <c r="A490" t="s">
        <v>847</v>
      </c>
      <c r="B490" t="s">
        <v>156</v>
      </c>
      <c r="C490" t="s">
        <v>58</v>
      </c>
      <c r="D490" t="s">
        <v>113</v>
      </c>
      <c r="E490" t="s">
        <v>35</v>
      </c>
      <c r="F490" t="s">
        <v>100</v>
      </c>
      <c r="G490" t="s">
        <v>28</v>
      </c>
      <c r="H490" t="s">
        <v>29</v>
      </c>
      <c r="I490">
        <v>135732</v>
      </c>
      <c r="J490">
        <v>3</v>
      </c>
      <c r="K490">
        <v>4.4000000000000004</v>
      </c>
      <c r="L490">
        <v>7</v>
      </c>
      <c r="M490" t="s">
        <v>126</v>
      </c>
    </row>
    <row r="491" spans="1:13">
      <c r="A491" t="s">
        <v>848</v>
      </c>
      <c r="B491" t="s">
        <v>543</v>
      </c>
      <c r="C491" t="s">
        <v>68</v>
      </c>
      <c r="D491" t="s">
        <v>116</v>
      </c>
      <c r="E491" t="s">
        <v>17</v>
      </c>
      <c r="F491" t="s">
        <v>27</v>
      </c>
      <c r="G491" t="s">
        <v>19</v>
      </c>
      <c r="H491" t="s">
        <v>29</v>
      </c>
      <c r="I491">
        <v>948</v>
      </c>
      <c r="J491">
        <v>1</v>
      </c>
      <c r="K491">
        <v>4.2</v>
      </c>
      <c r="L491">
        <v>8</v>
      </c>
      <c r="M491" t="s">
        <v>30</v>
      </c>
    </row>
    <row r="492" spans="1:13">
      <c r="A492" t="s">
        <v>849</v>
      </c>
      <c r="B492" t="s">
        <v>415</v>
      </c>
      <c r="C492" t="s">
        <v>78</v>
      </c>
      <c r="D492" t="s">
        <v>46</v>
      </c>
      <c r="E492" t="s">
        <v>42</v>
      </c>
      <c r="F492" t="s">
        <v>83</v>
      </c>
      <c r="G492" t="s">
        <v>104</v>
      </c>
      <c r="H492" t="s">
        <v>29</v>
      </c>
      <c r="I492">
        <v>23855</v>
      </c>
      <c r="J492">
        <v>5</v>
      </c>
      <c r="K492">
        <v>4.7</v>
      </c>
      <c r="L492">
        <v>2</v>
      </c>
      <c r="M492" t="s">
        <v>80</v>
      </c>
    </row>
    <row r="493" spans="1:13">
      <c r="A493" t="s">
        <v>850</v>
      </c>
      <c r="B493" t="s">
        <v>252</v>
      </c>
      <c r="C493" t="s">
        <v>58</v>
      </c>
      <c r="D493" t="s">
        <v>218</v>
      </c>
      <c r="E493" t="s">
        <v>17</v>
      </c>
      <c r="F493" t="s">
        <v>100</v>
      </c>
      <c r="G493" t="s">
        <v>28</v>
      </c>
      <c r="H493" t="s">
        <v>64</v>
      </c>
      <c r="I493">
        <v>5334</v>
      </c>
      <c r="J493">
        <v>7</v>
      </c>
      <c r="K493">
        <v>3.8</v>
      </c>
      <c r="L493">
        <v>2</v>
      </c>
      <c r="M493" t="s">
        <v>30</v>
      </c>
    </row>
    <row r="494" spans="1:13">
      <c r="A494" t="s">
        <v>851</v>
      </c>
      <c r="B494" t="s">
        <v>263</v>
      </c>
      <c r="C494" t="s">
        <v>103</v>
      </c>
      <c r="D494" t="s">
        <v>109</v>
      </c>
      <c r="E494" t="s">
        <v>52</v>
      </c>
      <c r="F494" t="s">
        <v>100</v>
      </c>
      <c r="G494" t="s">
        <v>28</v>
      </c>
      <c r="H494" t="s">
        <v>20</v>
      </c>
      <c r="I494">
        <v>7390</v>
      </c>
      <c r="J494">
        <v>5</v>
      </c>
      <c r="K494">
        <v>3.6</v>
      </c>
      <c r="L494">
        <v>7</v>
      </c>
      <c r="M494" t="s">
        <v>87</v>
      </c>
    </row>
    <row r="495" spans="1:13">
      <c r="A495" t="s">
        <v>852</v>
      </c>
      <c r="B495" t="s">
        <v>424</v>
      </c>
      <c r="C495" t="s">
        <v>58</v>
      </c>
      <c r="D495" t="s">
        <v>86</v>
      </c>
      <c r="E495" t="s">
        <v>17</v>
      </c>
      <c r="F495" t="s">
        <v>27</v>
      </c>
      <c r="G495" t="s">
        <v>54</v>
      </c>
      <c r="H495" t="s">
        <v>20</v>
      </c>
      <c r="I495">
        <v>5888</v>
      </c>
      <c r="J495">
        <v>8</v>
      </c>
      <c r="K495">
        <v>4.7</v>
      </c>
      <c r="L495">
        <v>7</v>
      </c>
      <c r="M495" t="s">
        <v>30</v>
      </c>
    </row>
    <row r="496" spans="1:13">
      <c r="A496" t="s">
        <v>853</v>
      </c>
      <c r="B496" t="s">
        <v>837</v>
      </c>
      <c r="C496" t="s">
        <v>179</v>
      </c>
      <c r="D496" t="s">
        <v>97</v>
      </c>
      <c r="E496" t="s">
        <v>35</v>
      </c>
      <c r="F496" t="s">
        <v>60</v>
      </c>
      <c r="G496" t="s">
        <v>104</v>
      </c>
      <c r="H496" t="s">
        <v>29</v>
      </c>
      <c r="I496">
        <v>238268</v>
      </c>
      <c r="J496">
        <v>4</v>
      </c>
      <c r="K496">
        <v>4.7</v>
      </c>
      <c r="L496">
        <v>2</v>
      </c>
      <c r="M496" t="s">
        <v>80</v>
      </c>
    </row>
    <row r="497" spans="1:13">
      <c r="A497" t="s">
        <v>854</v>
      </c>
      <c r="B497" t="s">
        <v>833</v>
      </c>
      <c r="C497" t="s">
        <v>146</v>
      </c>
      <c r="D497" t="s">
        <v>109</v>
      </c>
      <c r="E497" t="s">
        <v>52</v>
      </c>
      <c r="F497" t="s">
        <v>60</v>
      </c>
      <c r="G497" t="s">
        <v>28</v>
      </c>
      <c r="H497" t="s">
        <v>64</v>
      </c>
      <c r="I497">
        <v>4904</v>
      </c>
      <c r="J497">
        <v>4</v>
      </c>
      <c r="K497">
        <v>3.2</v>
      </c>
      <c r="L497">
        <v>5</v>
      </c>
      <c r="M497" t="s">
        <v>119</v>
      </c>
    </row>
    <row r="498" spans="1:13">
      <c r="A498" t="s">
        <v>855</v>
      </c>
      <c r="B498" t="s">
        <v>487</v>
      </c>
      <c r="C498" t="s">
        <v>125</v>
      </c>
      <c r="D498" t="s">
        <v>86</v>
      </c>
      <c r="E498" t="s">
        <v>17</v>
      </c>
      <c r="F498" t="s">
        <v>18</v>
      </c>
      <c r="G498" t="s">
        <v>54</v>
      </c>
      <c r="H498" t="s">
        <v>36</v>
      </c>
      <c r="I498">
        <v>2895</v>
      </c>
      <c r="J498">
        <v>5</v>
      </c>
      <c r="K498">
        <v>4.2</v>
      </c>
      <c r="L498">
        <v>1</v>
      </c>
      <c r="M498" t="s">
        <v>80</v>
      </c>
    </row>
    <row r="499" spans="1:13">
      <c r="A499" t="s">
        <v>856</v>
      </c>
      <c r="B499" t="s">
        <v>187</v>
      </c>
      <c r="C499" t="s">
        <v>112</v>
      </c>
      <c r="D499" t="s">
        <v>165</v>
      </c>
      <c r="E499" t="s">
        <v>35</v>
      </c>
      <c r="F499" t="s">
        <v>27</v>
      </c>
      <c r="G499" t="s">
        <v>104</v>
      </c>
      <c r="H499" t="s">
        <v>64</v>
      </c>
      <c r="I499">
        <v>28672</v>
      </c>
      <c r="J499">
        <v>2</v>
      </c>
      <c r="K499">
        <v>3.6</v>
      </c>
      <c r="L499">
        <v>2</v>
      </c>
      <c r="M499" t="s">
        <v>126</v>
      </c>
    </row>
    <row r="500" spans="1:13">
      <c r="A500" t="s">
        <v>857</v>
      </c>
      <c r="B500" t="s">
        <v>250</v>
      </c>
      <c r="C500" t="s">
        <v>72</v>
      </c>
      <c r="D500" t="s">
        <v>86</v>
      </c>
      <c r="E500" t="s">
        <v>17</v>
      </c>
      <c r="F500" t="s">
        <v>18</v>
      </c>
      <c r="G500" t="s">
        <v>19</v>
      </c>
      <c r="H500" t="s">
        <v>20</v>
      </c>
      <c r="I500">
        <v>1882</v>
      </c>
      <c r="J500">
        <v>2</v>
      </c>
      <c r="K500">
        <v>4.9000000000000004</v>
      </c>
      <c r="L500">
        <v>4</v>
      </c>
      <c r="M500" t="s">
        <v>192</v>
      </c>
    </row>
    <row r="501" spans="1:1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DELL</cp:lastModifiedBy>
  <dcterms:created xsi:type="dcterms:W3CDTF">2026-09-04T11:04:00Z</dcterms:created>
  <dcterms:modified xsi:type="dcterms:W3CDTF">2026-09-06T10:40:05Z</dcterms:modified>
</cp:coreProperties>
</file>